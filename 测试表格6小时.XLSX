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drawing+xml" PartName="/xl/drawings/drawing1.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drawing+xml" PartName="/xl/drawings/drawing2.xml"/>
  <Override ContentType="application/vnd.openxmlformats-officedocument.spreadsheetml.worksheet+xml" PartName="/xl/worksheets/sheet6.xml"/>
  <Override ContentType="application/vnd.openxmlformats-officedocument.drawing+xml" PartName="/xl/drawings/drawing3.xml"/>
  <Override ContentType="application/vnd.openxmlformats-officedocument.spreadsheetml.worksheet+xml" PartName="/xl/worksheets/sheet7.xml"/>
  <Override ContentType="application/vnd.openxmlformats-officedocument.drawing+xml" PartName="/xl/drawings/drawing4.xml"/>
  <Override ContentType="application/vnd.openxmlformats-officedocument.spreadsheetml.worksheet+xml" PartName="/xl/worksheets/sheet8.xml"/>
  <Override ContentType="application/vnd.openxmlformats-officedocument.drawing+xml" PartName="/xl/drawings/drawing5.xml"/>
  <Override ContentType="application/vnd.openxmlformats-officedocument.spreadsheetml.worksheet+xml" PartName="/xl/worksheets/sheet9.xml"/>
  <Override ContentType="application/vnd.openxmlformats-officedocument.drawing+xml" PartName="/xl/drawings/drawing6.xml"/>
  <Override ContentType="application/vnd.openxmlformats-officedocument.spreadsheetml.worksheet+xml" PartName="/xl/worksheets/sheet10.xml"/>
  <Override ContentType="application/vnd.openxmlformats-officedocument.drawing+xml" PartName="/xl/drawings/drawing7.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drawing+xml" PartName="/xl/drawings/drawing8.xml"/>
  <Override ContentType="application/vnd.openxmlformats-officedocument.spreadsheetml.worksheet+xml" PartName="/xl/worksheets/sheet13.xml"/>
  <Override ContentType="application/vnd.openxmlformats-officedocument.drawing+xml" PartName="/xl/drawings/drawing9.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drawing+xml" PartName="/xl/drawings/drawing10.xml"/>
  <Override ContentType="application/vnd.openxmlformats-officedocument.spreadsheetml.worksheet+xml" PartName="/xl/worksheets/sheet16.xml"/>
  <Override ContentType="application/vnd.openxmlformats-officedocument.drawing+xml" PartName="/xl/drawings/drawing11.xml"/>
  <Override ContentType="application/vnd.openxmlformats-officedocument.spreadsheetml.worksheet+xml" PartName="/xl/worksheets/sheet17.xml"/>
  <Override ContentType="application/vnd.openxmlformats-officedocument.drawing+xml" PartName="/xl/drawings/drawing12.xml"/>
  <Override ContentType="application/vnd.openxmlformats-officedocument.spreadsheetml.worksheet+xml" PartName="/xl/worksheets/sheet18.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codeName="ThisWorkbook"/>
  <bookViews>
    <workbookView activeTab="7" autoFilterDateGrouping="1" firstSheet="5" minimized="0" showHorizontalScroll="1" showSheetTabs="1" showVerticalScroll="1" tabRatio="710" visibility="visible" windowHeight="9000" windowWidth="27320"/>
  </bookViews>
  <sheets>
    <sheet xmlns:r="http://schemas.openxmlformats.org/officeDocument/2006/relationships" name="Instruments" sheetId="1" state="visible" r:id="rId1"/>
    <sheet xmlns:r="http://schemas.openxmlformats.org/officeDocument/2006/relationships" name="Test Summary" sheetId="2" state="visible" r:id="rId2"/>
    <sheet xmlns:r="http://schemas.openxmlformats.org/officeDocument/2006/relationships" name="DUT Description" sheetId="3" state="visible" r:id="rId3"/>
    <sheet xmlns:r="http://schemas.openxmlformats.org/officeDocument/2006/relationships" name="Pt100 check&amp;Hipot test" sheetId="4" state="hidden" r:id="rId4"/>
    <sheet xmlns:r="http://schemas.openxmlformats.org/officeDocument/2006/relationships" name="IR measure" sheetId="5" state="visible" r:id="rId5"/>
    <sheet xmlns:r="http://schemas.openxmlformats.org/officeDocument/2006/relationships" name="2.Circuiting I &amp; 3.Drag Nm" sheetId="6" state="visible" r:id="rId6"/>
    <sheet xmlns:r="http://schemas.openxmlformats.org/officeDocument/2006/relationships" name="4.Motor BEMF" sheetId="7" state="visible" r:id="rId7"/>
    <sheet xmlns:r="http://schemas.openxmlformats.org/officeDocument/2006/relationships" name="5. Short circuit" sheetId="8" state="visible" r:id="rId8"/>
    <sheet xmlns:r="http://schemas.openxmlformats.org/officeDocument/2006/relationships" name="6. PM Parameters Setup" sheetId="9" state="visible" r:id="rId9"/>
    <sheet xmlns:r="http://schemas.openxmlformats.org/officeDocument/2006/relationships" name="7. Torque vs. Phase Current" sheetId="10" state="visible" r:id="rId10"/>
    <sheet xmlns:r="http://schemas.openxmlformats.org/officeDocument/2006/relationships" name="Peak torque" sheetId="11" state="hidden" r:id="rId11"/>
    <sheet xmlns:r="http://schemas.openxmlformats.org/officeDocument/2006/relationships" name="8. Winding Heating" sheetId="12" state="visible" r:id="rId12"/>
    <sheet xmlns:r="http://schemas.openxmlformats.org/officeDocument/2006/relationships" name="9. Cont. Torque Curve" sheetId="13" state="visible" r:id="rId13"/>
    <sheet xmlns:r="http://schemas.openxmlformats.org/officeDocument/2006/relationships" name="Efficiency" sheetId="14" state="hidden" r:id="rId14"/>
    <sheet xmlns:r="http://schemas.openxmlformats.org/officeDocument/2006/relationships" name="10.Efficiency Test" sheetId="15" state="visible" r:id="rId15"/>
    <sheet xmlns:r="http://schemas.openxmlformats.org/officeDocument/2006/relationships" name="11. High Speed" sheetId="16" state="visible" r:id="rId16"/>
    <sheet xmlns:r="http://schemas.openxmlformats.org/officeDocument/2006/relationships" name="12.Work Area Check" sheetId="17" state="hidden" r:id="rId17"/>
    <sheet xmlns:r="http://schemas.openxmlformats.org/officeDocument/2006/relationships" name="List" sheetId="18" state="hidden" r:id="rId18"/>
  </sheets>
  <definedNames>
    <definedName localSheetId="5" name="Mode">#REF!</definedName>
    <definedName localSheetId="7" name="Mode">#REF!</definedName>
    <definedName localSheetId="8" name="Mode">#REF!</definedName>
    <definedName name="Mode">#REF!</definedName>
  </definedNames>
  <calcPr calcId="144525" fullCalcOnLoad="1"/>
</workbook>
</file>

<file path=xl/styles.xml><?xml version="1.0" encoding="utf-8"?>
<styleSheet xmlns="http://schemas.openxmlformats.org/spreadsheetml/2006/main">
  <numFmts count="11">
    <numFmt formatCode="0.0" numFmtId="164"/>
    <numFmt formatCode="#,##0.0" numFmtId="165"/>
    <numFmt formatCode="0.000" numFmtId="166"/>
    <numFmt formatCode="h:mm:ss;@" numFmtId="167"/>
    <numFmt formatCode="h:mm:ss.0" numFmtId="168"/>
    <numFmt formatCode="0.0000000" numFmtId="169"/>
    <numFmt formatCode="0.000%" numFmtId="170"/>
    <numFmt formatCode="_ * #,##0.00_ ;_ * \-#,##0.00_ ;_ * &quot;-&quot;??_ ;_ @_ " numFmtId="171"/>
    <numFmt formatCode="_ &quot;￥&quot;* #,##0.00_ ;_ &quot;￥&quot;* \-#,##0.00_ ;_ &quot;￥&quot;* &quot;-&quot;??_ ;_ @_ " numFmtId="172"/>
    <numFmt formatCode="_ &quot;￥&quot;* #,##0_ ;_ &quot;￥&quot;* \-#,##0_ ;_ &quot;￥&quot;* &quot;-&quot;_ ;_ @_ " numFmtId="173"/>
    <numFmt formatCode="_ * #,##0_ ;_ * \-#,##0_ ;_ * &quot;-&quot;_ ;_ @_ " numFmtId="174"/>
  </numFmts>
  <fonts count="48">
    <font>
      <name val="宋体"/>
      <charset val="134"/>
      <color theme="1"/>
      <sz val="11"/>
      <scheme val="minor"/>
    </font>
    <font>
      <name val="Arial"/>
      <charset val="134"/>
      <b val="1"/>
      <color theme="1"/>
      <sz val="18"/>
    </font>
    <font>
      <name val="Arial"/>
      <charset val="134"/>
      <b val="1"/>
      <color theme="1"/>
      <sz val="10"/>
    </font>
    <font>
      <name val="宋体"/>
      <charset val="134"/>
      <b val="1"/>
      <color theme="1"/>
      <sz val="11"/>
      <scheme val="minor"/>
    </font>
    <font>
      <name val="宋体"/>
      <charset val="134"/>
      <color rgb="FF0070C0"/>
      <sz val="11"/>
      <scheme val="minor"/>
    </font>
    <font>
      <name val="Arial"/>
      <charset val="134"/>
      <color rgb="FF0070C0"/>
      <sz val="10"/>
    </font>
    <font>
      <name val="Arial"/>
      <charset val="134"/>
      <color theme="1"/>
      <sz val="10"/>
    </font>
    <font>
      <name val="Arial"/>
      <charset val="134"/>
      <sz val="10"/>
    </font>
    <font>
      <name val="Arial"/>
      <charset val="134"/>
      <b val="1"/>
      <color rgb="FFFFFF00"/>
      <sz val="10"/>
    </font>
    <font>
      <name val="Arial"/>
      <charset val="134"/>
      <i val="1"/>
      <color rgb="FF0070C0"/>
      <sz val="10"/>
    </font>
    <font>
      <name val="Arial"/>
      <charset val="134"/>
      <b val="1"/>
      <sz val="10"/>
    </font>
    <font>
      <name val="宋体"/>
      <charset val="134"/>
      <i val="1"/>
      <color theme="1"/>
      <sz val="11"/>
      <scheme val="minor"/>
    </font>
    <font>
      <name val="宋体"/>
      <charset val="134"/>
      <sz val="11"/>
      <scheme val="minor"/>
    </font>
    <font>
      <name val="宋体"/>
      <charset val="134"/>
      <b val="1"/>
      <sz val="11"/>
      <scheme val="minor"/>
    </font>
    <font>
      <name val="宋体"/>
      <charset val="134"/>
      <color theme="0" tint="-0.149998474074526"/>
      <sz val="11"/>
      <scheme val="minor"/>
    </font>
    <font>
      <name val="宋体"/>
      <charset val="134"/>
      <color theme="1"/>
      <sz val="10"/>
      <scheme val="minor"/>
    </font>
    <font>
      <name val="宋体"/>
      <charset val="134"/>
      <b val="1"/>
      <color theme="1"/>
      <sz val="10"/>
      <scheme val="minor"/>
    </font>
    <font>
      <name val="宋体"/>
      <charset val="134"/>
      <color rgb="FF0070C0"/>
      <sz val="10"/>
      <scheme val="minor"/>
    </font>
    <font>
      <name val="Arial"/>
      <charset val="134"/>
      <color rgb="FF0070C0"/>
      <sz val="11"/>
    </font>
    <font>
      <name val="Arial"/>
      <charset val="134"/>
      <b val="1"/>
      <color theme="1"/>
      <sz val="11"/>
    </font>
    <font>
      <name val="Arial"/>
      <charset val="134"/>
      <b val="1"/>
      <sz val="11"/>
    </font>
    <font>
      <name val="宋体"/>
      <charset val="134"/>
      <color theme="10"/>
      <sz val="11"/>
      <scheme val="minor"/>
    </font>
    <font>
      <name val="宋体"/>
      <charset val="134"/>
      <b val="1"/>
      <sz val="10"/>
      <scheme val="minor"/>
    </font>
    <font>
      <name val="宋体"/>
      <charset val="134"/>
      <sz val="10"/>
      <scheme val="minor"/>
    </font>
    <font>
      <name val="Arial"/>
      <charset val="134"/>
      <color theme="4"/>
      <sz val="10"/>
    </font>
    <font>
      <name val="宋体"/>
      <charset val="134"/>
      <color rgb="FFFF0000"/>
      <sz val="11"/>
      <scheme val="minor"/>
    </font>
    <font>
      <name val="Arial"/>
      <charset val="134"/>
      <b val="1"/>
      <color rgb="FF0070C0"/>
      <sz val="10"/>
    </font>
    <font>
      <name val="宋体"/>
      <charset val="0"/>
      <color theme="1"/>
      <sz val="11"/>
      <scheme val="minor"/>
    </font>
    <font>
      <name val="宋体"/>
      <charset val="134"/>
      <b val="1"/>
      <color theme="3"/>
      <sz val="11"/>
      <scheme val="minor"/>
    </font>
    <font>
      <name val="宋体"/>
      <charset val="134"/>
      <color theme="1"/>
      <sz val="12"/>
      <scheme val="minor"/>
    </font>
    <font>
      <name val="宋体"/>
      <charset val="134"/>
      <color theme="10"/>
      <sz val="11"/>
      <u val="single"/>
      <scheme val="minor"/>
    </font>
    <font>
      <name val="宋体"/>
      <charset val="0"/>
      <color theme="0"/>
      <sz val="11"/>
      <scheme val="minor"/>
    </font>
    <font>
      <name val="宋体"/>
      <charset val="0"/>
      <color rgb="FFFF0000"/>
      <sz val="11"/>
      <scheme val="minor"/>
    </font>
    <font>
      <name val="宋体"/>
      <charset val="134"/>
      <b val="1"/>
      <color theme="3"/>
      <sz val="18"/>
      <scheme val="minor"/>
    </font>
    <font>
      <name val="宋体"/>
      <charset val="0"/>
      <color rgb="FF006100"/>
      <sz val="11"/>
      <scheme val="minor"/>
    </font>
    <font>
      <name val="宋体"/>
      <charset val="0"/>
      <i val="1"/>
      <color rgb="FF7F7F7F"/>
      <sz val="11"/>
      <scheme val="minor"/>
    </font>
    <font>
      <name val="宋体"/>
      <charset val="0"/>
      <color rgb="FFFA7D00"/>
      <sz val="11"/>
      <scheme val="minor"/>
    </font>
    <font>
      <name val="宋体"/>
      <charset val="134"/>
      <b val="1"/>
      <color theme="3"/>
      <sz val="15"/>
      <scheme val="minor"/>
    </font>
    <font>
      <name val="宋体"/>
      <charset val="0"/>
      <b val="1"/>
      <color theme="1"/>
      <sz val="11"/>
      <scheme val="minor"/>
    </font>
    <font>
      <name val="宋体"/>
      <charset val="134"/>
      <color rgb="FF006100"/>
      <sz val="11"/>
      <scheme val="minor"/>
    </font>
    <font>
      <name val="宋体"/>
      <charset val="0"/>
      <b val="1"/>
      <color rgb="FFFFFFFF"/>
      <sz val="11"/>
      <scheme val="minor"/>
    </font>
    <font>
      <name val="宋体"/>
      <charset val="0"/>
      <color rgb="FF9C6500"/>
      <sz val="11"/>
      <scheme val="minor"/>
    </font>
    <font>
      <name val="宋体"/>
      <charset val="0"/>
      <color rgb="FF9C0006"/>
      <sz val="11"/>
      <scheme val="minor"/>
    </font>
    <font>
      <name val="宋体"/>
      <charset val="0"/>
      <color rgb="FF3F3F76"/>
      <sz val="11"/>
      <scheme val="minor"/>
    </font>
    <font>
      <name val="宋体"/>
      <charset val="0"/>
      <color rgb="FF800080"/>
      <sz val="11"/>
      <u val="single"/>
      <scheme val="minor"/>
    </font>
    <font>
      <name val="宋体"/>
      <charset val="0"/>
      <b val="1"/>
      <color rgb="FFFA7D00"/>
      <sz val="11"/>
      <scheme val="minor"/>
    </font>
    <font>
      <name val="宋体"/>
      <charset val="0"/>
      <b val="1"/>
      <color rgb="FF3F3F3F"/>
      <sz val="11"/>
      <scheme val="minor"/>
    </font>
    <font>
      <name val="宋体"/>
      <charset val="134"/>
      <b val="1"/>
      <color theme="3"/>
      <sz val="13"/>
      <scheme val="minor"/>
    </font>
  </fonts>
  <fills count="45">
    <fill>
      <patternFill/>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0" tint="-0.349986266670736"/>
        <bgColor indexed="64"/>
      </patternFill>
    </fill>
    <fill>
      <patternFill patternType="solid">
        <fgColor rgb="FF92D050"/>
        <bgColor indexed="64"/>
      </patternFill>
    </fill>
    <fill>
      <patternFill patternType="solid">
        <fgColor theme="0" tint="-0.249977111117893"/>
        <bgColor indexed="64"/>
      </patternFill>
    </fill>
    <fill>
      <patternFill patternType="solid">
        <fgColor rgb="FF7030A0"/>
        <bgColor indexed="64"/>
      </patternFill>
    </fill>
    <fill>
      <patternFill patternType="solid">
        <fgColor theme="3" tint="0.799981688894314"/>
        <bgColor indexed="64"/>
      </patternFill>
    </fill>
    <fill>
      <patternFill patternType="solid">
        <fgColor theme="2"/>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
        <bgColor indexed="64"/>
      </patternFill>
    </fill>
    <fill>
      <patternFill patternType="solid">
        <fgColor rgb="FF00B0F0"/>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8"/>
        <bgColor indexed="64"/>
      </patternFill>
    </fill>
    <fill>
      <patternFill patternType="solid">
        <fgColor theme="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rgb="FFFFEB9C"/>
        <bgColor indexed="64"/>
      </patternFill>
    </fill>
    <fill>
      <patternFill patternType="solid">
        <fgColor rgb="FFFFC7CE"/>
        <bgColor indexed="64"/>
      </patternFill>
    </fill>
    <fill>
      <patternFill patternType="solid">
        <fgColor theme="5" tint="0.599993896298105"/>
        <bgColor indexed="64"/>
      </patternFill>
    </fill>
    <fill>
      <patternFill patternType="solid">
        <fgColor theme="4"/>
        <bgColor indexed="64"/>
      </patternFill>
    </fill>
    <fill>
      <patternFill patternType="solid">
        <fgColor theme="8" tint="0.399975585192419"/>
        <bgColor indexed="64"/>
      </patternFill>
    </fill>
    <fill>
      <patternFill patternType="solid">
        <fgColor rgb="FFFFCC99"/>
        <bgColor indexed="64"/>
      </patternFill>
    </fill>
    <fill>
      <patternFill patternType="solid">
        <fgColor theme="6"/>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7"/>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399975585192419"/>
        <bgColor indexed="64"/>
      </patternFill>
    </fill>
  </fills>
  <borders count="7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diagonal/>
    </border>
    <border>
      <left style="medium">
        <color auto="1"/>
      </left>
      <right/>
      <top style="medium">
        <color auto="1"/>
      </top>
      <bottom style="thin">
        <color auto="1"/>
      </bottom>
      <diagonal/>
    </border>
    <border>
      <left/>
      <right/>
      <top style="medium">
        <color auto="1"/>
      </top>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auto="1"/>
      </left>
      <right/>
      <top style="medium">
        <color auto="1"/>
      </top>
      <bottom/>
      <diagonal/>
    </border>
    <border>
      <left style="thin">
        <color auto="1"/>
      </left>
      <right style="thin">
        <color auto="1"/>
      </right>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medium">
        <color auto="1"/>
      </right>
      <top/>
      <bottom/>
      <diagonal/>
    </border>
  </borders>
  <cellStyleXfs count="50">
    <xf borderId="0" fillId="0" fontId="0" numFmtId="0"/>
    <xf applyAlignment="1" borderId="0" fillId="44" fontId="31" numFmtId="0">
      <alignment vertical="center"/>
    </xf>
    <xf applyAlignment="1" borderId="0" fillId="16" fontId="27" numFmtId="0">
      <alignment vertical="center"/>
    </xf>
    <xf applyAlignment="1" borderId="0" fillId="41" fontId="31" numFmtId="0">
      <alignment vertical="center"/>
    </xf>
    <xf applyAlignment="1" borderId="75" fillId="36" fontId="43" numFmtId="0">
      <alignment vertical="center"/>
    </xf>
    <xf applyAlignment="1" borderId="0" fillId="43" fontId="27" numFmtId="0">
      <alignment vertical="center"/>
    </xf>
    <xf applyAlignment="1" borderId="0" fillId="42" fontId="27" numFmtId="0">
      <alignment vertical="center"/>
    </xf>
    <xf applyAlignment="1" borderId="0" fillId="0" fontId="29" numFmtId="172">
      <alignment vertical="center"/>
    </xf>
    <xf applyAlignment="1" borderId="0" fillId="37" fontId="31" numFmtId="0">
      <alignment vertical="center"/>
    </xf>
    <xf borderId="0" fillId="0" fontId="0" numFmtId="0"/>
    <xf applyAlignment="1" borderId="0" fillId="39" fontId="31" numFmtId="0">
      <alignment vertical="center"/>
    </xf>
    <xf applyAlignment="1" borderId="0" fillId="35" fontId="31" numFmtId="0">
      <alignment vertical="center"/>
    </xf>
    <xf applyAlignment="1" borderId="0" fillId="22" fontId="31" numFmtId="0">
      <alignment vertical="center"/>
    </xf>
    <xf applyAlignment="1" borderId="0" fillId="30" fontId="31" numFmtId="0">
      <alignment vertical="center"/>
    </xf>
    <xf applyAlignment="1" borderId="0" fillId="24" fontId="31" numFmtId="0">
      <alignment vertical="center"/>
    </xf>
    <xf applyAlignment="1" borderId="75" fillId="40" fontId="45" numFmtId="0">
      <alignment vertical="center"/>
    </xf>
    <xf applyAlignment="1" borderId="0" fillId="34" fontId="31" numFmtId="0">
      <alignment vertical="center"/>
    </xf>
    <xf applyAlignment="1" borderId="0" fillId="31" fontId="41" numFmtId="0">
      <alignment vertical="center"/>
    </xf>
    <xf applyAlignment="1" borderId="0" fillId="11" fontId="27" numFmtId="0">
      <alignment vertical="center"/>
    </xf>
    <xf applyAlignment="1" borderId="0" fillId="26" fontId="34" numFmtId="0">
      <alignment vertical="center"/>
    </xf>
    <xf applyAlignment="1" borderId="0" fillId="28" fontId="27" numFmtId="0">
      <alignment vertical="center"/>
    </xf>
    <xf applyAlignment="1" borderId="73" fillId="0" fontId="38" numFmtId="0">
      <alignment vertical="center"/>
    </xf>
    <xf applyAlignment="1" borderId="0" fillId="32" fontId="42" numFmtId="0">
      <alignment vertical="center"/>
    </xf>
    <xf applyAlignment="1" borderId="74" fillId="29" fontId="40" numFmtId="0">
      <alignment vertical="center"/>
    </xf>
    <xf applyAlignment="1" borderId="76" fillId="40" fontId="46" numFmtId="0">
      <alignment vertical="center"/>
    </xf>
    <xf applyAlignment="1" borderId="71" fillId="0" fontId="37" numFmtId="0">
      <alignment vertical="center"/>
    </xf>
    <xf applyAlignment="1" borderId="0" fillId="0" fontId="35" numFmtId="0">
      <alignment vertical="center"/>
    </xf>
    <xf applyAlignment="1" borderId="0" fillId="38" fontId="27" numFmtId="0">
      <alignment vertical="center"/>
    </xf>
    <xf applyAlignment="1" borderId="0" fillId="0" fontId="28" numFmtId="0">
      <alignment vertical="center"/>
    </xf>
    <xf applyAlignment="1" borderId="0" fillId="0" fontId="29" numFmtId="173">
      <alignment vertical="center"/>
    </xf>
    <xf applyAlignment="1" borderId="0" fillId="25" fontId="27" numFmtId="0">
      <alignment vertical="center"/>
    </xf>
    <xf borderId="0" fillId="0" fontId="0" numFmtId="0"/>
    <xf applyAlignment="1" borderId="0" fillId="0" fontId="44" numFmtId="0">
      <alignment vertical="center"/>
    </xf>
    <xf applyAlignment="1" borderId="0" fillId="0" fontId="33" numFmtId="0">
      <alignment vertical="center"/>
    </xf>
    <xf applyAlignment="1" borderId="0" fillId="33" fontId="27" numFmtId="0">
      <alignment vertical="center"/>
    </xf>
    <xf borderId="0" fillId="26" fontId="39" numFmtId="0"/>
    <xf applyAlignment="1" borderId="0" fillId="0" fontId="32" numFmtId="0">
      <alignment vertical="center"/>
    </xf>
    <xf applyAlignment="1" borderId="0" fillId="23" fontId="31" numFmtId="0">
      <alignment vertical="center"/>
    </xf>
    <xf applyAlignment="1" borderId="72" fillId="27" fontId="29" numFmtId="0">
      <alignment vertical="center"/>
    </xf>
    <xf applyAlignment="1" borderId="0" fillId="10" fontId="27" numFmtId="0">
      <alignment vertical="center"/>
    </xf>
    <xf applyAlignment="1" borderId="0" fillId="21" fontId="31" numFmtId="0">
      <alignment vertical="center"/>
    </xf>
    <xf applyAlignment="1" borderId="0" fillId="20" fontId="27" numFmtId="0">
      <alignment vertical="center"/>
    </xf>
    <xf borderId="0" fillId="0" fontId="30" numFmtId="0"/>
    <xf applyAlignment="1" borderId="0" fillId="0" fontId="29" numFmtId="174">
      <alignment vertical="center"/>
    </xf>
    <xf applyAlignment="1" borderId="71" fillId="0" fontId="47" numFmtId="0">
      <alignment vertical="center"/>
    </xf>
    <xf applyAlignment="1" borderId="0" fillId="18" fontId="27" numFmtId="0">
      <alignment vertical="center"/>
    </xf>
    <xf applyAlignment="1" borderId="69" fillId="0" fontId="28" numFmtId="0">
      <alignment vertical="center"/>
    </xf>
    <xf applyAlignment="1" borderId="0" fillId="19" fontId="31" numFmtId="0">
      <alignment vertical="center"/>
    </xf>
    <xf applyAlignment="1" borderId="0" fillId="17" fontId="27" numFmtId="0">
      <alignment vertical="center"/>
    </xf>
    <xf applyAlignment="1" borderId="70" fillId="0" fontId="36" numFmtId="0">
      <alignment vertical="center"/>
    </xf>
  </cellStyleXfs>
  <cellXfs count="671">
    <xf borderId="0" fillId="0" fontId="0" numFmtId="0" pivotButton="0" quotePrefix="0" xfId="0"/>
    <xf applyAlignment="1" applyProtection="1" borderId="0" fillId="0" fontId="0" numFmtId="0" pivotButton="0" quotePrefix="0" xfId="0">
      <alignment wrapText="1"/>
      <protection hidden="0" locked="0"/>
    </xf>
    <xf applyProtection="1" borderId="0" fillId="0" fontId="0" numFmtId="0" pivotButton="0" quotePrefix="0" xfId="0">
      <protection hidden="0" locked="0"/>
    </xf>
    <xf applyAlignment="1" applyProtection="1" borderId="1" fillId="0" fontId="0" numFmtId="0" pivotButton="0" quotePrefix="0" xfId="0">
      <alignment vertical="center"/>
      <protection hidden="0" locked="0"/>
    </xf>
    <xf applyAlignment="1" applyProtection="1" borderId="2" fillId="0" fontId="0" numFmtId="0" pivotButton="0" quotePrefix="0" xfId="0">
      <alignment vertical="center"/>
      <protection hidden="0" locked="0"/>
    </xf>
    <xf applyAlignment="1" applyProtection="1" borderId="3" fillId="0" fontId="0" numFmtId="0" pivotButton="0" quotePrefix="0" xfId="0">
      <alignment vertical="center"/>
      <protection hidden="0" locked="0"/>
    </xf>
    <xf applyAlignment="1" applyProtection="1" borderId="4" fillId="0" fontId="1" numFmtId="0" pivotButton="0" quotePrefix="0" xfId="0">
      <alignment horizontal="center" vertical="center"/>
      <protection hidden="0" locked="0"/>
    </xf>
    <xf applyAlignment="1" applyProtection="1" borderId="5" fillId="0" fontId="0" numFmtId="0" pivotButton="0" quotePrefix="0" xfId="0">
      <alignment vertical="center"/>
      <protection hidden="0" locked="0"/>
    </xf>
    <xf applyAlignment="1" applyProtection="1" borderId="6" fillId="0" fontId="0" numFmtId="0" pivotButton="0" quotePrefix="0" xfId="0">
      <alignment vertical="center"/>
      <protection hidden="0" locked="0"/>
    </xf>
    <xf applyAlignment="1" applyProtection="1" borderId="7" fillId="0" fontId="0" numFmtId="0" pivotButton="0" quotePrefix="0" xfId="0">
      <alignment vertical="center"/>
      <protection hidden="0" locked="0"/>
    </xf>
    <xf applyAlignment="1" applyProtection="1" borderId="8" fillId="0" fontId="1" numFmtId="0" pivotButton="0" quotePrefix="0" xfId="0">
      <alignment horizontal="center" vertical="center"/>
      <protection hidden="0" locked="0"/>
    </xf>
    <xf applyAlignment="1" applyProtection="1" borderId="0" fillId="2" fontId="2" numFmtId="0" pivotButton="0" quotePrefix="0" xfId="0">
      <alignment horizontal="left" vertical="center" wrapText="1"/>
      <protection hidden="0" locked="0"/>
    </xf>
    <xf applyAlignment="1" applyProtection="1" borderId="9" fillId="2" fontId="3" numFmtId="0" pivotButton="0" quotePrefix="0" xfId="0">
      <alignment horizontal="left" vertical="center" wrapText="1"/>
      <protection hidden="0" locked="0"/>
    </xf>
    <xf borderId="10" fillId="0" fontId="0" numFmtId="0" pivotButton="0" quotePrefix="0" xfId="0"/>
    <xf applyAlignment="1" applyProtection="1" borderId="9" fillId="3" fontId="4" numFmtId="0" pivotButton="0" quotePrefix="0" xfId="0">
      <alignment horizontal="center" vertical="center"/>
      <protection hidden="0" locked="0"/>
    </xf>
    <xf applyAlignment="1" applyProtection="1" borderId="9" fillId="3" fontId="4" numFmtId="2" pivotButton="0" quotePrefix="0" xfId="0">
      <alignment horizontal="center" vertical="center"/>
      <protection hidden="0" locked="0"/>
    </xf>
    <xf applyAlignment="1" applyProtection="1" borderId="9" fillId="3" fontId="4" numFmtId="2" pivotButton="0" quotePrefix="0" xfId="0">
      <alignment horizontal="center" vertical="center" wrapText="1"/>
      <protection hidden="0" locked="0"/>
    </xf>
    <xf applyAlignment="1" applyProtection="1" borderId="9" fillId="4" fontId="3" numFmtId="0" pivotButton="0" quotePrefix="0" xfId="0">
      <alignment horizontal="center" vertical="center" wrapText="1"/>
      <protection hidden="0" locked="0"/>
    </xf>
    <xf applyAlignment="1" applyProtection="1" borderId="8" fillId="3" fontId="4" numFmtId="1" pivotButton="0" quotePrefix="0" xfId="0">
      <alignment horizontal="center" vertical="center"/>
      <protection hidden="0" locked="0"/>
    </xf>
    <xf applyAlignment="1" applyProtection="1" borderId="9" fillId="3" fontId="4" numFmtId="164" pivotButton="0" quotePrefix="0" xfId="0">
      <alignment horizontal="center" vertical="center"/>
      <protection hidden="0" locked="0"/>
    </xf>
    <xf applyAlignment="1" borderId="11" fillId="3" fontId="5" numFmtId="164" pivotButton="0" quotePrefix="0" xfId="0">
      <alignment horizontal="center" vertical="center" wrapText="1"/>
    </xf>
    <xf applyAlignment="1" borderId="9" fillId="3" fontId="5" numFmtId="164" pivotButton="0" quotePrefix="0" xfId="0">
      <alignment horizontal="center" vertical="center" wrapText="1"/>
    </xf>
    <xf applyAlignment="1" applyProtection="1" borderId="9" fillId="2" fontId="3" numFmtId="0" pivotButton="0" quotePrefix="0" xfId="0">
      <alignment horizontal="center" vertical="center"/>
      <protection hidden="0" locked="0"/>
    </xf>
    <xf applyAlignment="1" applyProtection="1" borderId="9" fillId="2" fontId="3" numFmtId="0" pivotButton="0" quotePrefix="0" xfId="0">
      <alignment horizontal="center" vertical="center" wrapText="1"/>
      <protection hidden="0" locked="0"/>
    </xf>
    <xf borderId="2" fillId="0" fontId="0" numFmtId="0" pivotButton="0" quotePrefix="0" xfId="0"/>
    <xf borderId="3" fillId="0" fontId="0" numFmtId="0" pivotButton="0" quotePrefix="0" xfId="0"/>
    <xf borderId="12" fillId="0" fontId="0" numFmtId="0" pivotButton="0" quotePrefix="0" xfId="0"/>
    <xf borderId="5" fillId="0" fontId="0" numFmtId="0" pivotButton="0" quotePrefix="0" xfId="0"/>
    <xf borderId="6" fillId="0" fontId="0" numFmtId="0" pivotButton="0" quotePrefix="0" xfId="0"/>
    <xf borderId="7" fillId="0" fontId="0" numFmtId="0" pivotButton="0" quotePrefix="0" xfId="0"/>
    <xf borderId="8" fillId="0" fontId="0" numFmtId="0" pivotButton="0" quotePrefix="0" xfId="0"/>
    <xf applyAlignment="1" applyProtection="1" borderId="9" fillId="0" fontId="3" numFmtId="0" pivotButton="0" quotePrefix="0" xfId="0">
      <alignment horizontal="center" vertical="center"/>
      <protection hidden="0" locked="0"/>
    </xf>
    <xf applyAlignment="1" applyProtection="1" borderId="9" fillId="4" fontId="3" numFmtId="0" pivotButton="0" quotePrefix="0" xfId="0">
      <alignment horizontal="center" vertical="center"/>
      <protection hidden="0" locked="0"/>
    </xf>
    <xf applyAlignment="1" applyProtection="1" borderId="9" fillId="0" fontId="4" numFmtId="0" pivotButton="0" quotePrefix="0" xfId="0">
      <alignment horizontal="center" vertical="center"/>
      <protection hidden="0" locked="0"/>
    </xf>
    <xf applyAlignment="1" applyProtection="1" borderId="9" fillId="0" fontId="0" numFmtId="0" pivotButton="0" quotePrefix="0" xfId="0">
      <alignment horizontal="center" vertical="center"/>
      <protection hidden="0" locked="0"/>
    </xf>
    <xf applyAlignment="1" applyProtection="1" borderId="10" fillId="0" fontId="4" numFmtId="0" pivotButton="0" quotePrefix="0" xfId="0">
      <alignment horizontal="center" vertical="center"/>
      <protection hidden="0" locked="0"/>
    </xf>
    <xf borderId="13" fillId="0" fontId="0" numFmtId="0" pivotButton="0" quotePrefix="0" xfId="0"/>
    <xf applyAlignment="1" applyProtection="1" borderId="9" fillId="2" fontId="3" numFmtId="1" pivotButton="0" quotePrefix="0" xfId="0">
      <alignment horizontal="center" vertical="center" wrapText="1"/>
      <protection hidden="0" locked="0"/>
    </xf>
    <xf applyAlignment="1" applyProtection="1" borderId="9" fillId="4" fontId="0" numFmtId="1" pivotButton="0" quotePrefix="0" xfId="0">
      <alignment horizontal="center" vertical="center"/>
      <protection hidden="0" locked="0"/>
    </xf>
    <xf applyAlignment="1" applyProtection="1" borderId="9" fillId="0" fontId="4" numFmtId="1" pivotButton="0" quotePrefix="0" xfId="0">
      <alignment horizontal="center" vertical="center" wrapText="1"/>
      <protection hidden="0" locked="0"/>
    </xf>
    <xf applyAlignment="1" applyProtection="1" borderId="9" fillId="0" fontId="4" numFmtId="2" pivotButton="0" quotePrefix="0" xfId="0">
      <alignment vertical="center"/>
      <protection hidden="0" locked="0"/>
    </xf>
    <xf applyAlignment="1" applyProtection="1" borderId="9" fillId="5" fontId="0" numFmtId="164" pivotButton="0" quotePrefix="0" xfId="0">
      <alignment vertical="center"/>
      <protection hidden="0" locked="0"/>
    </xf>
    <xf applyProtection="1" borderId="9" fillId="0" fontId="4" numFmtId="0" pivotButton="0" quotePrefix="0" xfId="0">
      <protection hidden="0" locked="0"/>
    </xf>
    <xf applyAlignment="1" applyProtection="1" borderId="9" fillId="0" fontId="0" numFmtId="0" pivotButton="0" quotePrefix="0" xfId="0">
      <alignment vertical="center"/>
      <protection hidden="0" locked="0"/>
    </xf>
    <xf applyProtection="1" borderId="9" fillId="0" fontId="0" numFmtId="0" pivotButton="0" quotePrefix="0" xfId="0">
      <protection hidden="0" locked="0"/>
    </xf>
    <xf applyProtection="1" borderId="0" fillId="0" fontId="6" numFmtId="0" pivotButton="0" quotePrefix="0" xfId="0">
      <protection hidden="0" locked="0"/>
    </xf>
    <xf applyAlignment="1" borderId="0" fillId="6" fontId="2" numFmtId="0" pivotButton="0" quotePrefix="0" xfId="0">
      <alignment horizontal="left" vertical="center" wrapText="1"/>
    </xf>
    <xf applyAlignment="1" borderId="9" fillId="4" fontId="2" numFmtId="2" pivotButton="0" quotePrefix="0" xfId="0">
      <alignment horizontal="center" vertical="center"/>
    </xf>
    <xf applyAlignment="1" borderId="9" fillId="2" fontId="2" numFmtId="0" pivotButton="0" quotePrefix="0" xfId="0">
      <alignment horizontal="center" textRotation="90" vertical="center" wrapText="1"/>
    </xf>
    <xf applyAlignment="1" borderId="9" fillId="2" fontId="2" numFmtId="0" pivotButton="0" quotePrefix="0" xfId="0">
      <alignment horizontal="center" vertical="center" wrapText="1"/>
    </xf>
    <xf applyAlignment="1" borderId="9" fillId="2" fontId="2" numFmtId="0" pivotButton="0" quotePrefix="0" xfId="0">
      <alignment horizontal="left" vertical="center" wrapText="1"/>
    </xf>
    <xf applyAlignment="1" borderId="0" fillId="0" fontId="3" numFmtId="0" pivotButton="0" quotePrefix="0" xfId="0">
      <alignment horizontal="left" vertical="center"/>
    </xf>
    <xf applyAlignment="1" borderId="9" fillId="0" fontId="0" numFmtId="0" pivotButton="0" quotePrefix="0" xfId="0">
      <alignment horizontal="left" vertical="top" wrapText="1"/>
    </xf>
    <xf applyAlignment="1" borderId="0" fillId="5" fontId="7" numFmtId="2" pivotButton="0" quotePrefix="0" xfId="0">
      <alignment horizontal="center" vertical="center"/>
    </xf>
    <xf applyAlignment="1" applyProtection="1" borderId="0" fillId="0" fontId="6" numFmtId="0" pivotButton="0" quotePrefix="0" xfId="0">
      <alignment horizontal="left" wrapText="1"/>
      <protection hidden="0" locked="0"/>
    </xf>
    <xf applyAlignment="1" applyProtection="1" borderId="0" fillId="0" fontId="2" numFmtId="0" pivotButton="0" quotePrefix="0" xfId="0">
      <alignment vertical="center"/>
      <protection hidden="0" locked="0"/>
    </xf>
    <xf applyAlignment="1" borderId="10" fillId="4" fontId="2" numFmtId="2" pivotButton="0" quotePrefix="0" xfId="0">
      <alignment horizontal="center" vertical="center"/>
    </xf>
    <xf applyAlignment="1" applyProtection="1" borderId="9" fillId="3" fontId="5" numFmtId="2" pivotButton="0" quotePrefix="0" xfId="0">
      <alignment horizontal="center" vertical="center"/>
      <protection hidden="0" locked="0"/>
    </xf>
    <xf applyAlignment="1" borderId="9" fillId="2" fontId="2" numFmtId="0" pivotButton="0" quotePrefix="0" xfId="0">
      <alignment horizontal="left" vertical="center"/>
    </xf>
    <xf applyAlignment="1" applyProtection="1" borderId="9" fillId="3" fontId="5" numFmtId="3" pivotButton="0" quotePrefix="0" xfId="0">
      <alignment horizontal="center" vertical="center"/>
      <protection hidden="0" locked="0"/>
    </xf>
    <xf applyAlignment="1" applyProtection="1" borderId="9" fillId="3" fontId="5" numFmtId="165" pivotButton="0" quotePrefix="0" xfId="0">
      <alignment horizontal="center" vertical="center"/>
      <protection hidden="0" locked="0"/>
    </xf>
    <xf applyAlignment="1" applyProtection="1" borderId="9" fillId="3" fontId="5" numFmtId="1" pivotButton="0" quotePrefix="0" xfId="0">
      <alignment horizontal="center" vertical="center"/>
      <protection hidden="0" locked="0"/>
    </xf>
    <xf applyAlignment="1" applyProtection="1" borderId="9" fillId="4" fontId="2" numFmtId="1" pivotButton="0" quotePrefix="0" xfId="0">
      <alignment horizontal="center" vertical="center"/>
      <protection hidden="0" locked="0"/>
    </xf>
    <xf applyAlignment="1" borderId="9" fillId="0" fontId="0" numFmtId="0" pivotButton="0" quotePrefix="0" xfId="0">
      <alignment horizontal="center" vertical="center"/>
    </xf>
    <xf applyAlignment="1" applyProtection="1" borderId="9" fillId="0" fontId="5" numFmtId="0" pivotButton="0" quotePrefix="0" xfId="0">
      <alignment horizontal="center" vertical="center"/>
      <protection hidden="0" locked="0"/>
    </xf>
    <xf applyAlignment="1" borderId="9" fillId="5" fontId="6" numFmtId="1" pivotButton="0" quotePrefix="0" xfId="0">
      <alignment horizontal="center" vertical="center" wrapText="1"/>
    </xf>
    <xf applyAlignment="1" borderId="9" fillId="5" fontId="6" numFmtId="164" pivotButton="0" quotePrefix="0" xfId="0">
      <alignment horizontal="center" vertical="center"/>
    </xf>
    <xf applyAlignment="1" applyProtection="1" borderId="9" fillId="0" fontId="6" numFmtId="0" pivotButton="0" quotePrefix="0" xfId="0">
      <alignment horizontal="center" vertical="center"/>
      <protection hidden="0" locked="0"/>
    </xf>
    <xf applyProtection="1" borderId="9" fillId="0" fontId="3" numFmtId="0" pivotButton="0" quotePrefix="0" xfId="0">
      <protection hidden="0" locked="0"/>
    </xf>
    <xf applyProtection="1" borderId="11" fillId="0" fontId="3" numFmtId="21" pivotButton="0" quotePrefix="0" xfId="0">
      <protection hidden="0" locked="0"/>
    </xf>
    <xf applyProtection="1" borderId="0" fillId="0" fontId="0" numFmtId="20" pivotButton="0" quotePrefix="0" xfId="0">
      <protection hidden="0" locked="0"/>
    </xf>
    <xf applyProtection="1" borderId="1" fillId="0" fontId="3" numFmtId="21" pivotButton="0" quotePrefix="0" xfId="0">
      <protection hidden="0" locked="0"/>
    </xf>
    <xf applyProtection="1" borderId="0" fillId="0" fontId="0" numFmtId="21" pivotButton="0" quotePrefix="0" xfId="0">
      <protection hidden="0" locked="0"/>
    </xf>
    <xf applyAlignment="1" applyProtection="1" borderId="0" fillId="0" fontId="0" numFmtId="0" pivotButton="0" quotePrefix="0" xfId="0">
      <alignment vertical="center"/>
      <protection hidden="0" locked="0"/>
    </xf>
    <xf applyAlignment="1" applyProtection="1" borderId="4" fillId="0" fontId="0" numFmtId="0" pivotButton="0" quotePrefix="0" xfId="0">
      <alignment horizontal="center" vertical="center"/>
      <protection hidden="0" locked="0"/>
    </xf>
    <xf borderId="14" fillId="0" fontId="0" numFmtId="0" pivotButton="0" quotePrefix="0" xfId="0"/>
    <xf borderId="15" fillId="0" fontId="0" numFmtId="0" pivotButton="0" quotePrefix="0" xfId="0"/>
    <xf applyAlignment="1" applyProtection="1" borderId="12" fillId="0" fontId="1" numFmtId="0" pivotButton="0" quotePrefix="0" xfId="0">
      <alignment horizontal="center" vertical="center"/>
      <protection hidden="0" locked="0"/>
    </xf>
    <xf applyAlignment="1" borderId="7" fillId="2" fontId="2" numFmtId="0" pivotButton="0" quotePrefix="0" xfId="0">
      <alignment horizontal="left" vertical="center"/>
    </xf>
    <xf applyAlignment="1" borderId="4" fillId="2" fontId="2" numFmtId="0" pivotButton="0" quotePrefix="0" xfId="0">
      <alignment horizontal="center" textRotation="90" vertical="center" wrapText="1"/>
    </xf>
    <xf applyAlignment="1" borderId="4" fillId="2" fontId="2" numFmtId="0" pivotButton="0" quotePrefix="0" xfId="0">
      <alignment horizontal="left" vertical="center" wrapText="1"/>
    </xf>
    <xf applyAlignment="1" borderId="16" fillId="7" fontId="2" numFmtId="0" pivotButton="0" quotePrefix="0" xfId="0">
      <alignment horizontal="center" textRotation="90" vertical="center" wrapText="1"/>
    </xf>
    <xf borderId="17" fillId="0" fontId="0" numFmtId="0" pivotButton="0" quotePrefix="0" xfId="0"/>
    <xf applyAlignment="1" borderId="12" fillId="2" fontId="2" numFmtId="0" pivotButton="0" quotePrefix="0" xfId="0">
      <alignment horizontal="center" textRotation="90" vertical="center" wrapText="1"/>
    </xf>
    <xf applyAlignment="1" borderId="8" fillId="2" fontId="2" numFmtId="0" pivotButton="0" quotePrefix="0" xfId="0">
      <alignment horizontal="left" vertical="center" wrapText="1"/>
    </xf>
    <xf applyAlignment="1" borderId="16" fillId="7" fontId="2" numFmtId="0" pivotButton="0" quotePrefix="0" xfId="0">
      <alignment horizontal="center" textRotation="90" vertical="center"/>
    </xf>
    <xf applyAlignment="1" borderId="8" fillId="2" fontId="2" numFmtId="0" pivotButton="0" quotePrefix="0" xfId="0">
      <alignment horizontal="center" textRotation="90" vertical="center" wrapText="1"/>
    </xf>
    <xf applyAlignment="1" borderId="18" fillId="2" fontId="2" numFmtId="0" pivotButton="0" quotePrefix="0" xfId="0">
      <alignment horizontal="left" vertical="center" wrapText="1"/>
    </xf>
    <xf borderId="19" fillId="0" fontId="0" numFmtId="0" pivotButton="0" quotePrefix="0" xfId="0"/>
    <xf applyAlignment="1" borderId="9" fillId="2" fontId="8" numFmtId="0" pivotButton="0" quotePrefix="0" xfId="0">
      <alignment horizontal="left" vertical="center" wrapText="1"/>
    </xf>
    <xf applyAlignment="1" borderId="5" fillId="2" fontId="2" numFmtId="0" pivotButton="0" quotePrefix="0" xfId="0">
      <alignment horizontal="left" vertical="center" wrapText="1"/>
    </xf>
    <xf applyAlignment="1" borderId="11" fillId="2" fontId="2" numFmtId="0" pivotButton="0" quotePrefix="0" xfId="0">
      <alignment horizontal="left" vertical="center" wrapText="1"/>
    </xf>
    <xf applyAlignment="1" borderId="18" fillId="2" fontId="2" numFmtId="0" pivotButton="0" quotePrefix="0" xfId="0">
      <alignment horizontal="left" vertical="center"/>
    </xf>
    <xf applyAlignment="1" borderId="11" fillId="2" fontId="2" numFmtId="0" pivotButton="0" quotePrefix="0" xfId="0">
      <alignment vertical="center"/>
    </xf>
    <xf applyAlignment="1" borderId="13" fillId="2" fontId="2" numFmtId="0" pivotButton="0" quotePrefix="0" xfId="0">
      <alignment vertical="center"/>
    </xf>
    <xf applyAlignment="1" borderId="20" fillId="2" fontId="2" numFmtId="0" pivotButton="0" quotePrefix="0" xfId="0">
      <alignment horizontal="left" vertical="center" wrapText="1"/>
    </xf>
    <xf borderId="21" fillId="0" fontId="0" numFmtId="0" pivotButton="0" quotePrefix="0" xfId="0"/>
    <xf applyAlignment="1" borderId="0" fillId="0" fontId="6" numFmtId="0" pivotButton="0" quotePrefix="0" xfId="0">
      <alignment vertical="center"/>
    </xf>
    <xf applyAlignment="1" borderId="0" fillId="0" fontId="2" numFmtId="0" pivotButton="0" quotePrefix="0" xfId="0">
      <alignment horizontal="left" vertical="center"/>
    </xf>
    <xf applyAlignment="1" borderId="9" fillId="0" fontId="6" numFmtId="0" pivotButton="0" quotePrefix="0" xfId="0">
      <alignment horizontal="left" vertical="center" wrapText="1"/>
    </xf>
    <xf applyAlignment="1" borderId="8" fillId="2" fontId="2" numFmtId="0" pivotButton="0" quotePrefix="0" xfId="0">
      <alignment horizontal="center" vertical="center"/>
    </xf>
    <xf applyAlignment="1" applyProtection="1" borderId="9" fillId="4" fontId="7" numFmtId="0" pivotButton="0" quotePrefix="0" xfId="0">
      <alignment horizontal="center" vertical="center"/>
      <protection hidden="0" locked="0"/>
    </xf>
    <xf applyAlignment="1" applyProtection="1" borderId="9" fillId="3" fontId="5" numFmtId="0" pivotButton="0" quotePrefix="0" xfId="0">
      <alignment horizontal="center" vertical="center"/>
      <protection hidden="0" locked="0"/>
    </xf>
    <xf applyAlignment="1" applyProtection="1" borderId="9" fillId="3" fontId="9" numFmtId="2" pivotButton="0" quotePrefix="0" xfId="0">
      <alignment horizontal="center" vertical="center" wrapText="1"/>
      <protection hidden="0" locked="0"/>
    </xf>
    <xf applyAlignment="1" applyProtection="1" borderId="9" fillId="3" fontId="5" numFmtId="2" pivotButton="0" quotePrefix="0" xfId="0">
      <alignment horizontal="center" vertical="center" wrapText="1"/>
      <protection hidden="0" locked="0"/>
    </xf>
    <xf applyAlignment="1" borderId="4" fillId="2" fontId="2" numFmtId="0" pivotButton="0" quotePrefix="0" xfId="0">
      <alignment horizontal="left" vertical="center"/>
    </xf>
    <xf applyAlignment="1" applyProtection="1" borderId="12" fillId="3" fontId="5" numFmtId="2" pivotButton="0" quotePrefix="0" xfId="0">
      <alignment horizontal="center" vertical="center"/>
      <protection hidden="0" locked="0"/>
    </xf>
    <xf applyAlignment="1" applyProtection="1" borderId="8" fillId="3" fontId="5" numFmtId="164" pivotButton="0" quotePrefix="0" xfId="0">
      <alignment horizontal="center" vertical="center"/>
      <protection hidden="0" locked="0"/>
    </xf>
    <xf applyAlignment="1" borderId="10" fillId="2" fontId="2" numFmtId="0" pivotButton="0" quotePrefix="0" xfId="0">
      <alignment horizontal="left" vertical="center"/>
    </xf>
    <xf applyAlignment="1" applyProtection="1" borderId="9" fillId="3" fontId="5" numFmtId="164" pivotButton="0" quotePrefix="0" xfId="0">
      <alignment horizontal="center" vertical="center"/>
      <protection hidden="0" locked="0"/>
    </xf>
    <xf applyAlignment="1" borderId="10" fillId="2" fontId="2" numFmtId="0" pivotButton="0" quotePrefix="0" xfId="0">
      <alignment vertical="center" wrapText="1"/>
    </xf>
    <xf applyAlignment="1" applyProtection="1" borderId="8" fillId="0" fontId="5" numFmtId="164" pivotButton="0" quotePrefix="0" xfId="0">
      <alignment horizontal="center" vertical="center"/>
      <protection hidden="0" locked="0"/>
    </xf>
    <xf applyAlignment="1" borderId="3" fillId="2" fontId="2" numFmtId="0" pivotButton="0" quotePrefix="0" xfId="0">
      <alignment horizontal="left" vertical="center"/>
    </xf>
    <xf applyAlignment="1" applyProtection="1" borderId="12" fillId="0" fontId="5" numFmtId="164" pivotButton="0" quotePrefix="0" xfId="0">
      <alignment horizontal="center" vertical="center"/>
      <protection hidden="0" locked="0"/>
    </xf>
    <xf applyAlignment="1" borderId="22" fillId="2" fontId="2" numFmtId="0" pivotButton="0" quotePrefix="0" xfId="0">
      <alignment vertical="center" wrapText="1"/>
    </xf>
    <xf applyAlignment="1" applyProtection="1" borderId="23" fillId="0" fontId="5" numFmtId="164" pivotButton="0" quotePrefix="0" xfId="0">
      <alignment horizontal="center" vertical="center"/>
      <protection hidden="0" locked="0"/>
    </xf>
    <xf applyAlignment="1" borderId="10" fillId="2" fontId="2" numFmtId="0" pivotButton="0" quotePrefix="0" xfId="0">
      <alignment vertical="center"/>
    </xf>
    <xf applyAlignment="1" applyProtection="1" borderId="9" fillId="0" fontId="5" numFmtId="164" pivotButton="0" quotePrefix="0" xfId="0">
      <alignment horizontal="center" vertical="center"/>
      <protection hidden="0" locked="0"/>
    </xf>
    <xf applyAlignment="1" applyProtection="1" borderId="9" fillId="0" fontId="5" numFmtId="1" pivotButton="0" quotePrefix="0" xfId="0">
      <alignment horizontal="center" vertical="center" wrapText="1"/>
      <protection hidden="0" locked="0"/>
    </xf>
    <xf applyAlignment="1" borderId="9" fillId="5" fontId="6" numFmtId="2" pivotButton="0" quotePrefix="0" xfId="0">
      <alignment horizontal="center" vertical="center"/>
    </xf>
    <xf applyAlignment="1" borderId="9" fillId="0" fontId="0" numFmtId="2" pivotButton="0" quotePrefix="0" xfId="0">
      <alignment horizontal="center" vertical="center"/>
    </xf>
    <xf applyAlignment="1" borderId="10" fillId="2" fontId="10" numFmtId="0" pivotButton="0" quotePrefix="0" xfId="0">
      <alignment vertical="center" wrapText="1"/>
    </xf>
    <xf applyAlignment="1" borderId="3" fillId="2" fontId="2" numFmtId="0" pivotButton="0" quotePrefix="0" xfId="0">
      <alignment vertical="center"/>
    </xf>
    <xf applyAlignment="1" applyProtection="1" borderId="20" fillId="0" fontId="5" numFmtId="0" pivotButton="0" quotePrefix="0" xfId="0">
      <alignment horizontal="center" vertical="center"/>
      <protection hidden="0" locked="0"/>
    </xf>
    <xf applyAlignment="1" borderId="7" fillId="2" fontId="2" numFmtId="0" pivotButton="0" quotePrefix="0" xfId="0">
      <alignment vertical="center"/>
    </xf>
    <xf applyAlignment="1" applyProtection="1" borderId="8" fillId="4" fontId="6" numFmtId="1" pivotButton="0" quotePrefix="0" xfId="0">
      <alignment horizontal="center" vertical="center"/>
      <protection hidden="0" locked="0"/>
    </xf>
    <xf applyAlignment="1" applyProtection="1" borderId="9" fillId="0" fontId="5" numFmtId="2" pivotButton="0" quotePrefix="0" xfId="0">
      <alignment horizontal="center" vertical="center"/>
      <protection hidden="0" locked="0"/>
    </xf>
    <xf applyAlignment="1" borderId="4" fillId="5" fontId="6" numFmtId="2" pivotButton="0" quotePrefix="0" xfId="0">
      <alignment horizontal="center" vertical="center"/>
    </xf>
    <xf applyAlignment="1" borderId="8" fillId="2" fontId="2" numFmtId="0" pivotButton="0" quotePrefix="0" xfId="0">
      <alignment vertical="center"/>
    </xf>
    <xf applyAlignment="1" borderId="9" fillId="2" fontId="2" numFmtId="0" pivotButton="0" quotePrefix="0" xfId="0">
      <alignment vertical="center"/>
    </xf>
    <xf applyAlignment="1" borderId="3" fillId="2" fontId="2" numFmtId="0" pivotButton="0" quotePrefix="0" xfId="0">
      <alignment vertical="center" wrapText="1"/>
    </xf>
    <xf applyAlignment="1" borderId="22" fillId="2" fontId="2" numFmtId="0" pivotButton="0" quotePrefix="0" xfId="0">
      <alignment vertical="center"/>
    </xf>
    <xf applyAlignment="1" borderId="23" fillId="5" fontId="6" numFmtId="2" pivotButton="0" quotePrefix="0" xfId="0">
      <alignment horizontal="center" vertical="center"/>
    </xf>
    <xf applyAlignment="1" borderId="9" fillId="8" fontId="6" numFmtId="9" pivotButton="0" quotePrefix="0" xfId="9">
      <alignment horizontal="center" vertical="center"/>
    </xf>
    <xf borderId="24" fillId="0" fontId="0" numFmtId="0" pivotButton="0" quotePrefix="0" xfId="0"/>
    <xf applyAlignment="1" borderId="24" fillId="2" fontId="2" numFmtId="0" pivotButton="0" quotePrefix="0" xfId="0">
      <alignment vertical="center"/>
    </xf>
    <xf applyAlignment="1" borderId="5" fillId="2" fontId="2" numFmtId="0" pivotButton="0" quotePrefix="0" xfId="0">
      <alignment horizontal="center" vertical="center"/>
    </xf>
    <xf applyAlignment="1" borderId="9" fillId="5" fontId="7" numFmtId="2" pivotButton="0" quotePrefix="0" xfId="0">
      <alignment horizontal="center" vertical="center"/>
    </xf>
    <xf applyAlignment="1" applyProtection="1" borderId="0" fillId="0" fontId="6" numFmtId="0" pivotButton="0" quotePrefix="0" xfId="0">
      <alignment vertical="center"/>
      <protection hidden="0" locked="0"/>
    </xf>
    <xf borderId="25" fillId="0" fontId="0" numFmtId="0" pivotButton="0" quotePrefix="0" xfId="0"/>
    <xf borderId="22" fillId="0" fontId="0" numFmtId="0" pivotButton="0" quotePrefix="0" xfId="0"/>
    <xf applyAlignment="1" borderId="0" fillId="0" fontId="0" numFmtId="0" pivotButton="0" quotePrefix="0" xfId="0">
      <alignment horizontal="center"/>
    </xf>
    <xf applyAlignment="1" borderId="26" fillId="9" fontId="11" numFmtId="0" pivotButton="0" quotePrefix="0" xfId="0">
      <alignment horizontal="center" vertical="center"/>
    </xf>
    <xf applyAlignment="1" borderId="26" fillId="9" fontId="11" numFmtId="2" pivotButton="0" quotePrefix="0" xfId="0">
      <alignment horizontal="center" vertical="center"/>
    </xf>
    <xf applyAlignment="1" borderId="9" fillId="10" fontId="0" numFmtId="0" pivotButton="0" quotePrefix="0" xfId="0">
      <alignment horizontal="left" vertical="center"/>
    </xf>
    <xf applyAlignment="1" borderId="9" fillId="0" fontId="11" numFmtId="1" pivotButton="0" quotePrefix="0" xfId="0">
      <alignment horizontal="center" vertical="center"/>
    </xf>
    <xf applyAlignment="1" borderId="9" fillId="5" fontId="11" numFmtId="2" pivotButton="0" quotePrefix="0" xfId="0">
      <alignment horizontal="center" vertical="center"/>
    </xf>
    <xf applyAlignment="1" borderId="9" fillId="0" fontId="11" numFmtId="2" pivotButton="0" quotePrefix="0" xfId="0">
      <alignment horizontal="center" vertical="center"/>
    </xf>
    <xf applyAlignment="1" borderId="9" fillId="10" fontId="0" numFmtId="0" pivotButton="0" quotePrefix="0" xfId="0">
      <alignment vertical="center"/>
    </xf>
    <xf applyAlignment="1" applyProtection="1" borderId="9" fillId="0" fontId="0" numFmtId="2" pivotButton="0" quotePrefix="0" xfId="0">
      <alignment horizontal="center" vertical="center"/>
      <protection hidden="0" locked="0"/>
    </xf>
    <xf applyAlignment="1" borderId="20" fillId="10" fontId="0" numFmtId="0" pivotButton="0" quotePrefix="0" xfId="0">
      <alignment vertical="center"/>
    </xf>
    <xf applyAlignment="1" borderId="4" fillId="10" fontId="0" numFmtId="0" pivotButton="0" quotePrefix="0" xfId="0">
      <alignment vertical="center"/>
    </xf>
    <xf applyAlignment="1" borderId="11" fillId="11" fontId="0" numFmtId="0" pivotButton="0" quotePrefix="0" xfId="0">
      <alignment vertical="center"/>
    </xf>
    <xf applyAlignment="1" applyProtection="1" borderId="9" fillId="0" fontId="12" numFmtId="164" pivotButton="0" quotePrefix="0" xfId="0">
      <alignment horizontal="center" vertical="center"/>
      <protection hidden="0" locked="0"/>
    </xf>
    <xf applyAlignment="1" borderId="9" fillId="11" fontId="0" numFmtId="0" pivotButton="0" quotePrefix="0" xfId="0">
      <alignment vertical="center"/>
    </xf>
    <xf applyAlignment="1" borderId="5" fillId="11" fontId="0" numFmtId="0" pivotButton="0" quotePrefix="0" xfId="0">
      <alignment vertical="center"/>
    </xf>
    <xf applyAlignment="1" borderId="9" fillId="0" fontId="0" numFmtId="1" pivotButton="0" quotePrefix="0" xfId="0">
      <alignment horizontal="center" vertical="center" wrapText="1"/>
    </xf>
    <xf applyAlignment="1" borderId="9" fillId="11" fontId="0" numFmtId="2" pivotButton="0" quotePrefix="0" xfId="0">
      <alignment horizontal="center" vertical="center"/>
    </xf>
    <xf applyAlignment="1" borderId="11" fillId="11" fontId="0" numFmtId="166" pivotButton="0" quotePrefix="0" xfId="0">
      <alignment vertical="center" wrapText="1"/>
    </xf>
    <xf applyAlignment="1" applyProtection="1" borderId="9" fillId="11" fontId="0" numFmtId="164" pivotButton="0" quotePrefix="0" xfId="0">
      <alignment horizontal="center" vertical="center"/>
      <protection hidden="0" locked="0"/>
    </xf>
    <xf applyAlignment="1" applyProtection="1" borderId="9" fillId="12" fontId="0" numFmtId="164" pivotButton="0" quotePrefix="0" xfId="0">
      <alignment horizontal="center" vertical="center"/>
      <protection hidden="0" locked="0"/>
    </xf>
    <xf applyAlignment="1" borderId="9" fillId="11" fontId="0" numFmtId="164" pivotButton="0" quotePrefix="0" xfId="0">
      <alignment horizontal="center" vertical="center"/>
    </xf>
    <xf applyAlignment="1" borderId="9" fillId="0" fontId="0" numFmtId="0" pivotButton="0" quotePrefix="0" xfId="0">
      <alignment horizontal="center"/>
    </xf>
    <xf applyAlignment="1" borderId="20" fillId="11" fontId="0" numFmtId="0" pivotButton="0" quotePrefix="0" xfId="0">
      <alignment vertical="center"/>
    </xf>
    <xf applyAlignment="1" borderId="8" fillId="13" fontId="0" numFmtId="0" pivotButton="0" quotePrefix="0" xfId="0">
      <alignment vertical="center"/>
    </xf>
    <xf applyAlignment="1" applyProtection="1" borderId="9" fillId="0" fontId="0" numFmtId="1" pivotButton="0" quotePrefix="0" xfId="0">
      <alignment horizontal="center" vertical="center"/>
      <protection hidden="0" locked="0"/>
    </xf>
    <xf applyAlignment="1" borderId="9" fillId="13" fontId="0" numFmtId="0" pivotButton="0" quotePrefix="0" xfId="0">
      <alignment vertical="center"/>
    </xf>
    <xf applyAlignment="1" applyProtection="1" borderId="9" fillId="14" fontId="0" numFmtId="2" pivotButton="0" quotePrefix="0" xfId="0">
      <alignment horizontal="center" vertical="center"/>
      <protection hidden="0" locked="0"/>
    </xf>
    <xf applyAlignment="1" borderId="20" fillId="13" fontId="0" numFmtId="0" pivotButton="0" quotePrefix="0" xfId="0">
      <alignment vertical="center"/>
    </xf>
    <xf applyAlignment="1" borderId="23" fillId="12" fontId="0" numFmtId="0" pivotButton="0" quotePrefix="0" xfId="0">
      <alignment vertical="center"/>
    </xf>
    <xf applyAlignment="1" borderId="9" fillId="12" fontId="0" numFmtId="0" pivotButton="0" quotePrefix="0" xfId="0">
      <alignment vertical="center"/>
    </xf>
    <xf applyAlignment="1" borderId="20" fillId="12" fontId="0" numFmtId="0" pivotButton="0" quotePrefix="0" xfId="0">
      <alignment vertical="center"/>
    </xf>
    <xf applyAlignment="1" borderId="23" fillId="5" fontId="0" numFmtId="0" pivotButton="0" quotePrefix="0" xfId="0">
      <alignment vertical="center"/>
    </xf>
    <xf applyAlignment="1" borderId="9" fillId="5" fontId="0" numFmtId="0" pivotButton="0" quotePrefix="0" xfId="0">
      <alignment vertical="center"/>
    </xf>
    <xf applyAlignment="1" borderId="9" fillId="13" fontId="0" numFmtId="2" pivotButton="0" quotePrefix="0" xfId="0">
      <alignment horizontal="center" vertical="center"/>
    </xf>
    <xf applyAlignment="1" borderId="11" fillId="13" fontId="0" numFmtId="2" pivotButton="0" quotePrefix="0" xfId="0">
      <alignment horizontal="center" vertical="center"/>
    </xf>
    <xf applyAlignment="1" borderId="12" fillId="5" fontId="0" numFmtId="0" pivotButton="0" quotePrefix="0" xfId="0">
      <alignment vertical="center"/>
    </xf>
    <xf borderId="0" fillId="0" fontId="0" numFmtId="164" pivotButton="0" quotePrefix="0" xfId="0"/>
    <xf applyAlignment="1" borderId="11" fillId="0" fontId="0" numFmtId="0" pivotButton="0" quotePrefix="0" xfId="0">
      <alignment horizontal="center"/>
    </xf>
    <xf applyAlignment="1" borderId="14" fillId="7" fontId="2" numFmtId="0" pivotButton="0" quotePrefix="0" xfId="0">
      <alignment horizontal="center" textRotation="90" vertical="center"/>
    </xf>
    <xf applyAlignment="1" borderId="1" fillId="7" fontId="2" numFmtId="0" pivotButton="0" quotePrefix="0" xfId="0">
      <alignment horizontal="center" textRotation="90" vertical="center"/>
    </xf>
    <xf applyAlignment="1" borderId="9" fillId="2" fontId="2" numFmtId="0" pivotButton="0" quotePrefix="0" xfId="0">
      <alignment horizontal="left" textRotation="90" vertical="center" wrapText="1"/>
    </xf>
    <xf applyAlignment="1" borderId="9" fillId="2" fontId="2" numFmtId="0" pivotButton="0" quotePrefix="0" xfId="0">
      <alignment horizontal="left" vertical="top" wrapText="1"/>
    </xf>
    <xf borderId="0" fillId="0" fontId="6" numFmtId="0" pivotButton="0" quotePrefix="0" xfId="0"/>
    <xf applyAlignment="1" borderId="9" fillId="0" fontId="6" numFmtId="0" pivotButton="0" quotePrefix="0" xfId="0">
      <alignment horizontal="left" vertical="top" wrapText="1"/>
    </xf>
    <xf applyAlignment="1" borderId="9" fillId="2" fontId="2" numFmtId="0" pivotButton="0" quotePrefix="0" xfId="0">
      <alignment vertical="center" wrapText="1"/>
    </xf>
    <xf applyAlignment="1" borderId="10" fillId="2" fontId="2" numFmtId="0" pivotButton="0" quotePrefix="0" xfId="0">
      <alignment horizontal="left" vertical="center" wrapText="1"/>
    </xf>
    <xf applyAlignment="1" borderId="10" fillId="2" fontId="2" numFmtId="0" pivotButton="0" quotePrefix="0" xfId="0">
      <alignment horizontal="left" vertical="top" wrapText="1"/>
    </xf>
    <xf applyAlignment="1" applyProtection="1" borderId="9" fillId="0" fontId="5" numFmtId="1" pivotButton="0" quotePrefix="0" xfId="0">
      <alignment horizontal="center" vertical="center"/>
      <protection hidden="0" locked="0"/>
    </xf>
    <xf applyAlignment="1" borderId="9" fillId="0" fontId="5" numFmtId="1" pivotButton="0" quotePrefix="0" xfId="0">
      <alignment horizontal="center" vertical="center"/>
    </xf>
    <xf applyAlignment="1" applyProtection="1" borderId="9" fillId="0" fontId="5" numFmtId="0" pivotButton="0" quotePrefix="0" xfId="0">
      <alignment horizontal="center"/>
      <protection hidden="0" locked="0"/>
    </xf>
    <xf applyAlignment="1" applyProtection="1" borderId="9" fillId="5" fontId="6" numFmtId="2" pivotButton="0" quotePrefix="0" xfId="0">
      <alignment horizontal="center" vertical="center"/>
      <protection hidden="0" locked="0"/>
    </xf>
    <xf applyAlignment="1" applyProtection="1" borderId="9" fillId="5" fontId="6" numFmtId="9" pivotButton="0" quotePrefix="0" xfId="9">
      <alignment horizontal="center" vertical="center"/>
      <protection hidden="0" locked="0"/>
    </xf>
    <xf applyAlignment="1" borderId="9" fillId="0" fontId="4" numFmtId="0" pivotButton="0" quotePrefix="0" xfId="0">
      <alignment horizontal="center" vertical="center"/>
    </xf>
    <xf applyAlignment="1" borderId="9" fillId="5" fontId="6" numFmtId="9" pivotButton="0" quotePrefix="0" xfId="9">
      <alignment horizontal="center" vertical="center"/>
    </xf>
    <xf applyAlignment="1" borderId="0" fillId="3" fontId="13" numFmtId="0" pivotButton="0" quotePrefix="0" xfId="0">
      <alignment vertical="center"/>
    </xf>
    <xf applyAlignment="1" borderId="0" fillId="3" fontId="3" numFmtId="0" pivotButton="0" quotePrefix="0" xfId="0">
      <alignment vertical="center" wrapText="1"/>
    </xf>
    <xf applyAlignment="1" borderId="0" fillId="3" fontId="3" numFmtId="0" pivotButton="0" quotePrefix="0" xfId="0">
      <alignment vertical="center"/>
    </xf>
    <xf applyAlignment="1" borderId="0" fillId="3" fontId="4" numFmtId="0" pivotButton="0" quotePrefix="0" xfId="0">
      <alignment vertical="center"/>
    </xf>
    <xf applyAlignment="1" borderId="0" fillId="3" fontId="0" numFmtId="0" pivotButton="0" quotePrefix="0" xfId="0">
      <alignment vertical="center"/>
    </xf>
    <xf applyAlignment="1" borderId="14" fillId="0" fontId="0" numFmtId="0" pivotButton="0" quotePrefix="0" xfId="0">
      <alignment horizontal="center"/>
    </xf>
    <xf applyAlignment="1" applyProtection="1" borderId="27" fillId="0" fontId="0" numFmtId="0" pivotButton="0" quotePrefix="0" xfId="0">
      <alignment horizontal="center"/>
      <protection hidden="0" locked="0"/>
    </xf>
    <xf borderId="28" fillId="0" fontId="0" numFmtId="0" pivotButton="0" quotePrefix="0" xfId="0"/>
    <xf borderId="29" fillId="0" fontId="0" numFmtId="0" pivotButton="0" quotePrefix="0" xfId="0"/>
    <xf applyAlignment="1" borderId="5" fillId="2" fontId="2" numFmtId="0" pivotButton="0" quotePrefix="0" xfId="0">
      <alignment horizontal="center" vertical="center" wrapText="1"/>
    </xf>
    <xf applyAlignment="1" applyProtection="1" borderId="9" fillId="2" fontId="2" numFmtId="0" pivotButton="0" quotePrefix="0" xfId="0">
      <alignment horizontal="center" vertical="center" wrapText="1"/>
      <protection hidden="0" locked="0"/>
    </xf>
    <xf applyAlignment="1" applyProtection="1" borderId="9" fillId="0" fontId="5" numFmtId="0" pivotButton="0" quotePrefix="0" xfId="0">
      <alignment horizontal="center" vertical="center" wrapText="1"/>
      <protection hidden="0" locked="0"/>
    </xf>
    <xf applyAlignment="1" borderId="6" fillId="2" fontId="3" numFmtId="0" pivotButton="0" quotePrefix="0" xfId="0">
      <alignment horizontal="left" vertical="center"/>
    </xf>
    <xf applyAlignment="1" borderId="9" fillId="2" fontId="3" numFmtId="0" pivotButton="0" quotePrefix="0" xfId="0">
      <alignment horizontal="left" vertical="center" wrapText="1"/>
    </xf>
    <xf applyAlignment="1" borderId="10" fillId="2" fontId="3" numFmtId="0" pivotButton="0" quotePrefix="0" xfId="0">
      <alignment horizontal="left" vertical="center"/>
    </xf>
    <xf applyAlignment="1" borderId="9" fillId="2" fontId="3" numFmtId="0" pivotButton="0" quotePrefix="0" xfId="0">
      <alignment horizontal="left" vertical="center"/>
    </xf>
    <xf applyAlignment="1" borderId="9" fillId="0" fontId="3" numFmtId="0" pivotButton="0" quotePrefix="0" xfId="0">
      <alignment horizontal="left"/>
    </xf>
    <xf applyAlignment="1" applyProtection="1" borderId="0" fillId="0" fontId="6" numFmtId="0" pivotButton="0" quotePrefix="0" xfId="0">
      <alignment wrapText="1"/>
      <protection hidden="0" locked="0"/>
    </xf>
    <xf applyAlignment="1" borderId="0" fillId="0" fontId="0" numFmtId="0" pivotButton="0" quotePrefix="0" xfId="0">
      <alignment horizontal="left" vertical="center"/>
    </xf>
    <xf applyAlignment="1" borderId="0" fillId="0" fontId="0" numFmtId="167" pivotButton="0" quotePrefix="0" xfId="0">
      <alignment horizontal="left" vertical="center"/>
    </xf>
    <xf applyAlignment="1" applyProtection="1" borderId="3" fillId="2" fontId="2" numFmtId="0" pivotButton="0" quotePrefix="0" xfId="0">
      <alignment horizontal="center" vertical="center" wrapText="1"/>
      <protection hidden="0" locked="0"/>
    </xf>
    <xf applyAlignment="1" applyProtection="1" borderId="10" fillId="2" fontId="2" numFmtId="0" pivotButton="0" quotePrefix="0" xfId="0">
      <alignment horizontal="center" vertical="center" wrapText="1"/>
      <protection hidden="0" locked="0"/>
    </xf>
    <xf applyAlignment="1" applyProtection="1" borderId="10" fillId="3" fontId="5" numFmtId="1" pivotButton="0" quotePrefix="0" xfId="0">
      <alignment horizontal="center" vertical="center"/>
      <protection hidden="0" locked="0"/>
    </xf>
    <xf applyAlignment="1" borderId="9" fillId="3" fontId="5" numFmtId="0" pivotButton="0" quotePrefix="0" xfId="0">
      <alignment horizontal="center" vertical="center" wrapText="1"/>
    </xf>
    <xf applyAlignment="1" borderId="9" fillId="2" fontId="3" numFmtId="0" pivotButton="0" quotePrefix="0" xfId="0">
      <alignment horizontal="center" vertical="center"/>
    </xf>
    <xf applyAlignment="1" applyProtection="1" borderId="9" fillId="0" fontId="4" numFmtId="2" pivotButton="0" quotePrefix="0" xfId="0">
      <alignment horizontal="center" vertical="center"/>
      <protection hidden="0" locked="0"/>
    </xf>
    <xf applyAlignment="1" applyProtection="1" borderId="9" fillId="5" fontId="0" numFmtId="2" pivotButton="0" quotePrefix="0" xfId="0">
      <alignment horizontal="center" vertical="center"/>
      <protection hidden="0" locked="0"/>
    </xf>
    <xf applyAlignment="1" applyProtection="1" borderId="9" fillId="2" fontId="3" numFmtId="2" pivotButton="0" quotePrefix="0" xfId="0">
      <alignment horizontal="center" vertical="center"/>
      <protection hidden="0" locked="0"/>
    </xf>
    <xf applyAlignment="1" borderId="9" fillId="5" fontId="0" numFmtId="0" pivotButton="0" quotePrefix="0" xfId="0">
      <alignment horizontal="center" vertical="center"/>
    </xf>
    <xf applyAlignment="1" borderId="0" fillId="0" fontId="0" numFmtId="0" pivotButton="0" quotePrefix="0" xfId="0">
      <alignment horizontal="center" vertical="center"/>
    </xf>
    <xf applyAlignment="1" borderId="0" fillId="0" fontId="0" numFmtId="2" pivotButton="0" quotePrefix="0" xfId="0">
      <alignment horizontal="center" vertical="center"/>
    </xf>
    <xf applyAlignment="1" borderId="30" fillId="2" fontId="2" numFmtId="0" pivotButton="0" quotePrefix="0" xfId="0">
      <alignment horizontal="center" vertical="center" wrapText="1"/>
    </xf>
    <xf applyAlignment="1" borderId="10" fillId="2" fontId="2" numFmtId="0" pivotButton="0" quotePrefix="0" xfId="0">
      <alignment horizontal="center" vertical="center" wrapText="1"/>
    </xf>
    <xf applyAlignment="1" borderId="30" fillId="2" fontId="2" numFmtId="0" pivotButton="0" quotePrefix="0" xfId="0">
      <alignment horizontal="center" vertical="center"/>
    </xf>
    <xf applyAlignment="1" borderId="11" fillId="3" fontId="5" numFmtId="0" pivotButton="0" quotePrefix="0" xfId="0">
      <alignment horizontal="center" vertical="center" wrapText="1"/>
    </xf>
    <xf applyAlignment="1" borderId="30" fillId="0" fontId="5" numFmtId="1" pivotButton="0" quotePrefix="0" xfId="0">
      <alignment horizontal="center" vertical="center"/>
    </xf>
    <xf applyAlignment="1" borderId="0" fillId="3" fontId="3" numFmtId="0" pivotButton="0" quotePrefix="0" xfId="0">
      <alignment horizontal="center" vertical="center"/>
    </xf>
    <xf applyAlignment="1" borderId="9" fillId="4" fontId="3" numFmtId="0" pivotButton="0" quotePrefix="0" xfId="0">
      <alignment horizontal="center" vertical="center"/>
    </xf>
    <xf applyAlignment="1" borderId="5" fillId="4" fontId="3" numFmtId="0" pivotButton="0" quotePrefix="0" xfId="0">
      <alignment horizontal="center" vertical="center"/>
    </xf>
    <xf applyAlignment="1" applyProtection="1" borderId="0" fillId="3" fontId="0" numFmtId="2" pivotButton="0" quotePrefix="0" xfId="0">
      <alignment horizontal="center" vertical="center"/>
      <protection hidden="0" locked="0"/>
    </xf>
    <xf applyAlignment="1" borderId="9" fillId="0" fontId="3" numFmtId="168" pivotButton="0" quotePrefix="0" xfId="0">
      <alignment horizontal="center" vertical="center"/>
    </xf>
    <xf applyAlignment="1" borderId="9" fillId="0" fontId="3" numFmtId="49" pivotButton="0" quotePrefix="0" xfId="0">
      <alignment horizontal="center" vertical="center"/>
    </xf>
    <xf applyAlignment="1" borderId="9" fillId="0" fontId="0" numFmtId="168" pivotButton="0" quotePrefix="0" xfId="0">
      <alignment horizontal="center" vertical="center"/>
    </xf>
    <xf applyAlignment="1" applyProtection="1" borderId="0" fillId="0" fontId="0" numFmtId="2" pivotButton="0" quotePrefix="0" xfId="0">
      <alignment horizontal="center" vertical="center"/>
      <protection hidden="0" locked="0"/>
    </xf>
    <xf applyAlignment="1" borderId="0" fillId="3" fontId="0" numFmtId="0" pivotButton="0" quotePrefix="0" xfId="0">
      <alignment horizontal="center" vertical="center"/>
    </xf>
    <xf borderId="0" fillId="3" fontId="0" numFmtId="0" pivotButton="0" quotePrefix="0" xfId="0"/>
    <xf applyAlignment="1" borderId="0" fillId="0" fontId="0" numFmtId="0" pivotButton="0" quotePrefix="0" xfId="0">
      <alignment horizontal="left" vertical="top" wrapText="1"/>
    </xf>
    <xf borderId="31" fillId="0" fontId="0" numFmtId="0" pivotButton="0" quotePrefix="0" xfId="0"/>
    <xf applyAlignment="1" borderId="9" fillId="0" fontId="12" numFmtId="0" pivotButton="0" quotePrefix="0" xfId="0">
      <alignment horizontal="center" vertical="center"/>
    </xf>
    <xf borderId="0" fillId="0" fontId="0" numFmtId="168" pivotButton="0" quotePrefix="0" xfId="0"/>
    <xf applyAlignment="1" borderId="32" fillId="9" fontId="14" numFmtId="0" pivotButton="0" quotePrefix="0" xfId="0">
      <alignment vertical="center"/>
    </xf>
    <xf applyAlignment="1" borderId="24" fillId="9" fontId="14" numFmtId="0" pivotButton="0" quotePrefix="0" xfId="0">
      <alignment vertical="center"/>
    </xf>
    <xf applyAlignment="1" borderId="33" fillId="9" fontId="11" numFmtId="0" pivotButton="0" quotePrefix="0" xfId="0">
      <alignment horizontal="center" vertical="center"/>
    </xf>
    <xf applyAlignment="1" borderId="23" fillId="15" fontId="3" numFmtId="0" pivotButton="0" quotePrefix="0" xfId="0">
      <alignment horizontal="center" textRotation="90" vertical="center"/>
    </xf>
    <xf applyAlignment="1" borderId="26" fillId="10" fontId="0" numFmtId="0" pivotButton="0" quotePrefix="0" xfId="0">
      <alignment horizontal="center" textRotation="90" vertical="center"/>
    </xf>
    <xf applyAlignment="1" borderId="18" fillId="10" fontId="0" numFmtId="0" pivotButton="0" quotePrefix="0" xfId="0">
      <alignment horizontal="left" vertical="center"/>
    </xf>
    <xf applyAlignment="1" borderId="11" fillId="10" fontId="0" numFmtId="0" pivotButton="0" quotePrefix="0" xfId="0">
      <alignment horizontal="left" vertical="center"/>
    </xf>
    <xf applyAlignment="1" borderId="11" fillId="10" fontId="0" numFmtId="0" pivotButton="0" quotePrefix="0" xfId="0">
      <alignment vertical="center"/>
    </xf>
    <xf applyAlignment="1" borderId="34" fillId="11" fontId="0" numFmtId="0" pivotButton="0" quotePrefix="0" xfId="0">
      <alignment horizontal="center" textRotation="90" vertical="center"/>
    </xf>
    <xf applyAlignment="1" borderId="9" fillId="0" fontId="0" numFmtId="164" pivotButton="0" quotePrefix="0" xfId="0">
      <alignment horizontal="center"/>
    </xf>
    <xf borderId="34" fillId="0" fontId="0" numFmtId="0" pivotButton="0" quotePrefix="0" xfId="0"/>
    <xf applyAlignment="1" borderId="8" fillId="12" fontId="3" numFmtId="0" pivotButton="0" quotePrefix="0" xfId="0">
      <alignment horizontal="center" textRotation="90" vertical="center"/>
    </xf>
    <xf applyAlignment="1" borderId="8" fillId="12" fontId="0" numFmtId="0" pivotButton="0" quotePrefix="0" xfId="0">
      <alignment horizontal="center" textRotation="90" vertical="center"/>
    </xf>
    <xf applyAlignment="1" borderId="11" fillId="12" fontId="0" numFmtId="0" pivotButton="0" quotePrefix="0" xfId="0">
      <alignment vertical="center"/>
    </xf>
    <xf applyAlignment="1" borderId="35" fillId="2" fontId="3" numFmtId="0" pivotButton="0" quotePrefix="0" xfId="0">
      <alignment horizontal="center" vertical="center"/>
    </xf>
    <xf applyAlignment="1" borderId="0" fillId="2" fontId="3" numFmtId="0" pivotButton="0" quotePrefix="0" xfId="0">
      <alignment horizontal="center" vertical="center"/>
    </xf>
    <xf applyAlignment="1" borderId="36" fillId="2" fontId="3" numFmtId="0" pivotButton="0" quotePrefix="0" xfId="0">
      <alignment horizontal="left" vertical="center" wrapText="1"/>
    </xf>
    <xf applyAlignment="1" borderId="37" fillId="2" fontId="3" numFmtId="0" pivotButton="0" quotePrefix="0" xfId="0">
      <alignment horizontal="left" vertical="center" wrapText="1"/>
    </xf>
    <xf applyAlignment="1" borderId="7" fillId="2" fontId="3" numFmtId="0" pivotButton="0" quotePrefix="0" xfId="0">
      <alignment horizontal="left" vertical="center"/>
    </xf>
    <xf applyAlignment="1" borderId="36" fillId="2" fontId="3" numFmtId="0" pivotButton="0" quotePrefix="0" xfId="0">
      <alignment horizontal="left" vertical="center"/>
    </xf>
    <xf applyAlignment="1" borderId="38" fillId="2" fontId="3" numFmtId="0" pivotButton="0" quotePrefix="0" xfId="0">
      <alignment horizontal="left" vertical="center"/>
    </xf>
    <xf borderId="0" fillId="0" fontId="3" numFmtId="0" pivotButton="0" quotePrefix="0" xfId="0"/>
    <xf applyAlignment="1" borderId="12" fillId="2" fontId="3" numFmtId="0" pivotButton="0" quotePrefix="0" xfId="0">
      <alignment horizontal="center" vertical="center"/>
    </xf>
    <xf applyAlignment="1" applyProtection="1" borderId="9" fillId="4" fontId="3" numFmtId="1" pivotButton="0" quotePrefix="0" xfId="0">
      <alignment horizontal="center" vertical="center"/>
      <protection hidden="0" locked="0"/>
    </xf>
    <xf applyAlignment="1" applyProtection="1" borderId="8" fillId="0" fontId="4" numFmtId="1" pivotButton="0" quotePrefix="0" xfId="0">
      <alignment horizontal="center" vertical="center"/>
      <protection hidden="0" locked="0"/>
    </xf>
    <xf applyAlignment="1" applyProtection="1" borderId="9" fillId="5" fontId="4" numFmtId="1" pivotButton="0" quotePrefix="0" xfId="0">
      <alignment horizontal="center" vertical="center"/>
      <protection hidden="0" locked="0"/>
    </xf>
    <xf applyAlignment="1" borderId="9" fillId="5" fontId="0" numFmtId="1" pivotButton="0" quotePrefix="0" xfId="0">
      <alignment horizontal="center" vertical="center" wrapText="1"/>
    </xf>
    <xf applyAlignment="1" borderId="9" fillId="5" fontId="0" numFmtId="164" pivotButton="0" quotePrefix="0" xfId="0">
      <alignment horizontal="center" vertical="center"/>
    </xf>
    <xf applyAlignment="1" borderId="9" fillId="0" fontId="4" numFmtId="164" pivotButton="0" quotePrefix="0" xfId="0">
      <alignment horizontal="center" vertical="center"/>
    </xf>
    <xf applyAlignment="1" borderId="9" fillId="5" fontId="0" numFmtId="2" pivotButton="0" quotePrefix="0" xfId="0">
      <alignment horizontal="center" vertical="center"/>
    </xf>
    <xf applyAlignment="1" borderId="20" fillId="5" fontId="0" numFmtId="2" pivotButton="0" quotePrefix="0" xfId="0">
      <alignment horizontal="center" vertical="center"/>
    </xf>
    <xf applyAlignment="1" borderId="9" fillId="2" fontId="2" numFmtId="0" pivotButton="0" quotePrefix="0" xfId="0">
      <alignment horizontal="center" vertical="center"/>
    </xf>
    <xf applyAlignment="1" borderId="15" fillId="2" fontId="3" numFmtId="0" pivotButton="0" quotePrefix="0" xfId="0">
      <alignment horizontal="center" vertical="center"/>
    </xf>
    <xf applyAlignment="1" applyProtection="1" borderId="8" fillId="0" fontId="4" numFmtId="0" pivotButton="0" quotePrefix="0" xfId="0">
      <alignment horizontal="center" vertical="center"/>
      <protection hidden="0" locked="0"/>
    </xf>
    <xf applyAlignment="1" applyProtection="1" borderId="9" fillId="0" fontId="4" numFmtId="1" pivotButton="0" quotePrefix="0" xfId="0">
      <alignment horizontal="center" vertical="center"/>
      <protection hidden="0" locked="0"/>
    </xf>
    <xf applyAlignment="1" borderId="11" fillId="0" fontId="5" numFmtId="2" pivotButton="0" quotePrefix="0" xfId="0">
      <alignment horizontal="center" vertical="center"/>
    </xf>
    <xf applyAlignment="1" borderId="30" fillId="0" fontId="5" numFmtId="2" pivotButton="0" quotePrefix="0" xfId="0">
      <alignment horizontal="center" vertical="center"/>
    </xf>
    <xf applyAlignment="1" borderId="39" fillId="2" fontId="3" numFmtId="0" pivotButton="0" quotePrefix="0" xfId="0">
      <alignment horizontal="center" vertical="center"/>
    </xf>
    <xf applyAlignment="1" applyProtection="1" borderId="30" fillId="0" fontId="0" numFmtId="0" pivotButton="0" quotePrefix="0" xfId="0">
      <alignment horizontal="center" vertical="center"/>
      <protection hidden="0" locked="0"/>
    </xf>
    <xf applyAlignment="1" applyProtection="1" borderId="40" fillId="0" fontId="4" numFmtId="0" pivotButton="0" quotePrefix="0" xfId="0">
      <alignment horizontal="center" vertical="center"/>
      <protection hidden="0" locked="0"/>
    </xf>
    <xf applyAlignment="1" applyProtection="1" borderId="30" fillId="0" fontId="4" numFmtId="2" pivotButton="0" quotePrefix="0" xfId="0">
      <alignment horizontal="center" vertical="center"/>
      <protection hidden="0" locked="0"/>
    </xf>
    <xf applyAlignment="1" applyProtection="1" borderId="30" fillId="5" fontId="4" numFmtId="1" pivotButton="0" quotePrefix="0" xfId="0">
      <alignment horizontal="center" vertical="center"/>
      <protection hidden="0" locked="0"/>
    </xf>
    <xf applyAlignment="1" borderId="30" fillId="5" fontId="0" numFmtId="1" pivotButton="0" quotePrefix="0" xfId="0">
      <alignment horizontal="center" vertical="center" wrapText="1"/>
    </xf>
    <xf applyAlignment="1" borderId="30" fillId="5" fontId="0" numFmtId="164" pivotButton="0" quotePrefix="0" xfId="0">
      <alignment horizontal="center" vertical="center"/>
    </xf>
    <xf applyAlignment="1" applyProtection="1" borderId="30" fillId="0" fontId="4" numFmtId="1" pivotButton="0" quotePrefix="0" xfId="0">
      <alignment horizontal="center" vertical="center"/>
      <protection hidden="0" locked="0"/>
    </xf>
    <xf applyAlignment="1" borderId="30" fillId="3" fontId="4" numFmtId="164" pivotButton="0" quotePrefix="0" xfId="0">
      <alignment horizontal="center" vertical="center"/>
    </xf>
    <xf applyAlignment="1" borderId="30" fillId="5" fontId="0" numFmtId="2" pivotButton="0" quotePrefix="0" xfId="0">
      <alignment horizontal="center" vertical="center"/>
    </xf>
    <xf applyAlignment="1" borderId="41" fillId="5" fontId="0" numFmtId="2" pivotButton="0" quotePrefix="0" xfId="0">
      <alignment horizontal="center" vertical="center"/>
    </xf>
    <xf applyProtection="1" borderId="0" fillId="0" fontId="0" numFmtId="166" pivotButton="0" quotePrefix="0" xfId="0">
      <protection hidden="0" locked="0"/>
    </xf>
    <xf applyAlignment="1" applyProtection="1" borderId="0" fillId="0" fontId="6" numFmtId="166" pivotButton="0" quotePrefix="0" xfId="0">
      <alignment vertical="center"/>
      <protection hidden="0" locked="0"/>
    </xf>
    <xf applyProtection="1" borderId="0" fillId="0" fontId="6" numFmtId="166" pivotButton="0" quotePrefix="0" xfId="0">
      <protection hidden="0" locked="0"/>
    </xf>
    <xf applyAlignment="1" applyProtection="1" borderId="0" fillId="0" fontId="6" numFmtId="0" pivotButton="0" quotePrefix="0" xfId="0">
      <alignment horizontal="left" vertical="center"/>
      <protection hidden="0" locked="0"/>
    </xf>
    <xf applyAlignment="1" borderId="13" fillId="2" fontId="2" numFmtId="0" pivotButton="0" quotePrefix="0" xfId="0">
      <alignment horizontal="center" vertical="center" wrapText="1"/>
    </xf>
    <xf applyAlignment="1" borderId="9" fillId="2" fontId="2" numFmtId="0" pivotButton="0" quotePrefix="0" xfId="0">
      <alignment horizontal="center" wrapText="1"/>
    </xf>
    <xf applyAlignment="1" borderId="9" fillId="2" fontId="10" numFmtId="0" pivotButton="0" quotePrefix="0" xfId="0">
      <alignment horizontal="center" vertical="center" wrapText="1"/>
    </xf>
    <xf applyAlignment="1" borderId="11" fillId="2" fontId="10" numFmtId="0" pivotButton="0" quotePrefix="0" xfId="0">
      <alignment horizontal="center" vertical="center" wrapText="1"/>
    </xf>
    <xf applyAlignment="1" borderId="11" fillId="2" fontId="10" numFmtId="2" pivotButton="0" quotePrefix="0" xfId="35">
      <alignment horizontal="center" vertical="center" wrapText="1"/>
    </xf>
    <xf applyAlignment="1" borderId="9" fillId="2" fontId="3" numFmtId="0" pivotButton="0" quotePrefix="0" xfId="0">
      <alignment horizontal="center" vertical="center" wrapText="1"/>
    </xf>
    <xf applyAlignment="1" borderId="9" fillId="5" fontId="7" numFmtId="166" pivotButton="0" quotePrefix="0" xfId="0">
      <alignment horizontal="center" vertical="center"/>
    </xf>
    <xf applyAlignment="1" borderId="11" fillId="5" fontId="7" numFmtId="166" pivotButton="0" quotePrefix="0" xfId="0">
      <alignment horizontal="center" vertical="center"/>
    </xf>
    <xf applyAlignment="1" applyProtection="1" borderId="9" fillId="5" fontId="12" numFmtId="166" pivotButton="0" quotePrefix="0" xfId="0">
      <alignment horizontal="center" vertical="center"/>
      <protection hidden="0" locked="0"/>
    </xf>
    <xf applyAlignment="1" borderId="11" fillId="2" fontId="2" numFmtId="0" pivotButton="0" quotePrefix="0" xfId="0">
      <alignment horizontal="center" vertical="center" wrapText="1"/>
    </xf>
    <xf applyAlignment="1" borderId="9" fillId="2" fontId="10" numFmtId="166" pivotButton="0" quotePrefix="0" xfId="0">
      <alignment horizontal="center" vertical="center" wrapText="1"/>
    </xf>
    <xf applyAlignment="1" borderId="13" fillId="2" fontId="10" numFmtId="166" pivotButton="0" quotePrefix="0" xfId="0">
      <alignment horizontal="center" vertical="center"/>
    </xf>
    <xf applyAlignment="1" borderId="9" fillId="2" fontId="10" numFmtId="166" pivotButton="0" quotePrefix="0" xfId="0">
      <alignment horizontal="center" vertical="center"/>
    </xf>
    <xf applyAlignment="1" borderId="9" fillId="4" fontId="10" numFmtId="1" pivotButton="0" quotePrefix="0" xfId="0">
      <alignment horizontal="center" vertical="center"/>
    </xf>
    <xf applyAlignment="1" borderId="2" fillId="2" fontId="10" numFmtId="1" pivotButton="0" quotePrefix="0" xfId="0">
      <alignment horizontal="center" vertical="center" wrapText="1"/>
    </xf>
    <xf applyAlignment="1" borderId="9" fillId="2" fontId="10" numFmtId="1" pivotButton="0" quotePrefix="0" xfId="0">
      <alignment horizontal="center" vertical="center"/>
    </xf>
    <xf applyAlignment="1" borderId="9" fillId="2" fontId="10" numFmtId="1" pivotButton="0" quotePrefix="0" xfId="0">
      <alignment horizontal="center" vertical="center" wrapText="1"/>
    </xf>
    <xf applyAlignment="1" borderId="9" fillId="5" fontId="6" numFmtId="166" pivotButton="0" quotePrefix="0" xfId="0">
      <alignment horizontal="center" vertical="center"/>
    </xf>
    <xf applyAlignment="1" borderId="9" fillId="3" fontId="5" numFmtId="2" pivotButton="0" quotePrefix="0" xfId="0">
      <alignment horizontal="center" vertical="center"/>
    </xf>
    <xf applyAlignment="1" borderId="9" fillId="2" fontId="2" numFmtId="2" pivotButton="0" quotePrefix="0" xfId="0">
      <alignment horizontal="center" vertical="center" wrapText="1"/>
    </xf>
    <xf applyAlignment="1" borderId="9" fillId="2" fontId="2" numFmtId="2" pivotButton="0" quotePrefix="0" xfId="0">
      <alignment horizontal="center" vertical="center"/>
    </xf>
    <xf applyAlignment="1" borderId="9" fillId="3" fontId="5" numFmtId="0" pivotButton="0" quotePrefix="0" xfId="0">
      <alignment horizontal="center" vertical="center"/>
    </xf>
    <xf applyAlignment="1" borderId="10" fillId="2" fontId="3" numFmtId="0" pivotButton="0" quotePrefix="0" xfId="0">
      <alignment horizontal="center" vertical="center" wrapText="1"/>
    </xf>
    <xf applyAlignment="1" applyProtection="1" borderId="9" fillId="5" fontId="12" numFmtId="166" pivotButton="0" quotePrefix="0" xfId="9">
      <alignment horizontal="center" vertical="center"/>
      <protection hidden="0" locked="0"/>
    </xf>
    <xf applyAlignment="1" applyProtection="1" borderId="9" fillId="2" fontId="10" numFmtId="166" pivotButton="0" quotePrefix="0" xfId="0">
      <alignment horizontal="center" vertical="center" wrapText="1"/>
      <protection hidden="0" locked="0"/>
    </xf>
    <xf applyAlignment="1" applyProtection="1" borderId="11" fillId="2" fontId="10" numFmtId="166" pivotButton="0" quotePrefix="0" xfId="0">
      <alignment horizontal="center" vertical="center" wrapText="1"/>
      <protection hidden="0" locked="0"/>
    </xf>
    <xf applyAlignment="1" applyProtection="1" borderId="9" fillId="2" fontId="10" numFmtId="166" pivotButton="0" quotePrefix="0" xfId="0">
      <alignment horizontal="center" vertical="center"/>
      <protection hidden="0" locked="0"/>
    </xf>
    <xf applyAlignment="1" applyProtection="1" borderId="9" fillId="2" fontId="10" numFmtId="10" pivotButton="0" quotePrefix="0" xfId="9">
      <alignment horizontal="center" vertical="center"/>
      <protection hidden="0" locked="0"/>
    </xf>
    <xf applyAlignment="1" applyProtection="1" borderId="8" fillId="5" fontId="7" numFmtId="166" pivotButton="0" quotePrefix="0" xfId="0">
      <alignment horizontal="center" vertical="center"/>
      <protection hidden="0" locked="0"/>
    </xf>
    <xf applyAlignment="1" applyProtection="1" borderId="9" fillId="5" fontId="7" numFmtId="166" pivotButton="0" quotePrefix="0" xfId="0">
      <alignment horizontal="center" vertical="center"/>
      <protection hidden="0" locked="0"/>
    </xf>
    <xf applyAlignment="1" applyProtection="1" borderId="9" fillId="5" fontId="7" numFmtId="166" pivotButton="0" quotePrefix="0" xfId="9">
      <alignment horizontal="center" vertical="center"/>
      <protection hidden="0" locked="0"/>
    </xf>
    <xf applyAlignment="1" applyProtection="1" borderId="9" fillId="2" fontId="10" numFmtId="166" pivotButton="0" quotePrefix="0" xfId="9">
      <alignment horizontal="center" vertical="center" wrapText="1"/>
      <protection hidden="0" locked="0"/>
    </xf>
    <xf applyAlignment="1" applyProtection="1" borderId="8" fillId="2" fontId="10" numFmtId="166" pivotButton="0" quotePrefix="0" xfId="0">
      <alignment horizontal="center" vertical="center"/>
      <protection hidden="0" locked="0"/>
    </xf>
    <xf applyAlignment="1" applyProtection="1" borderId="9" fillId="5" fontId="7" numFmtId="169" pivotButton="0" quotePrefix="0" xfId="9">
      <alignment horizontal="center" vertical="center"/>
      <protection hidden="0" locked="0"/>
    </xf>
    <xf applyAlignment="1" borderId="9" fillId="5" fontId="7" numFmtId="169" pivotButton="0" quotePrefix="0" xfId="0">
      <alignment horizontal="center" vertical="center"/>
    </xf>
    <xf applyAlignment="1" borderId="9" fillId="2" fontId="10" numFmtId="0" pivotButton="0" quotePrefix="0" xfId="0">
      <alignment horizontal="center" vertical="center"/>
    </xf>
    <xf applyAlignment="1" applyProtection="1" borderId="9" fillId="2" fontId="10" numFmtId="169" pivotButton="0" quotePrefix="0" xfId="9">
      <alignment horizontal="center" vertical="center" wrapText="1"/>
      <protection hidden="0" locked="0"/>
    </xf>
    <xf applyAlignment="1" applyProtection="1" borderId="4" fillId="2" fontId="10" numFmtId="169" pivotButton="0" quotePrefix="0" xfId="0">
      <alignment horizontal="center" vertical="center" wrapText="1"/>
      <protection hidden="0" locked="0"/>
    </xf>
    <xf applyAlignment="1" borderId="9" fillId="3" fontId="7" numFmtId="166" pivotButton="0" quotePrefix="0" xfId="0">
      <alignment horizontal="center" vertical="center"/>
    </xf>
    <xf applyAlignment="1" applyProtection="1" borderId="9" fillId="5" fontId="12" numFmtId="10" pivotButton="0" quotePrefix="0" xfId="9">
      <alignment horizontal="center" vertical="center"/>
      <protection hidden="0" locked="0"/>
    </xf>
    <xf applyAlignment="1" applyProtection="1" borderId="9" fillId="5" fontId="12" numFmtId="1" pivotButton="0" quotePrefix="0" xfId="0">
      <alignment horizontal="center" vertical="center"/>
      <protection hidden="0" locked="0"/>
    </xf>
    <xf applyAlignment="1" applyProtection="1" borderId="8" fillId="2" fontId="10" numFmtId="10" pivotButton="0" quotePrefix="0" xfId="9">
      <alignment horizontal="center" vertical="center"/>
      <protection hidden="0" locked="0"/>
    </xf>
    <xf applyAlignment="1" applyProtection="1" borderId="9" fillId="5" fontId="7" numFmtId="169" pivotButton="0" quotePrefix="0" xfId="0">
      <alignment horizontal="center" vertical="center"/>
      <protection hidden="0" locked="0"/>
    </xf>
    <xf applyAlignment="1" applyProtection="1" borderId="9" fillId="5" fontId="7" numFmtId="170" pivotButton="0" quotePrefix="0" xfId="9">
      <alignment horizontal="center" vertical="center"/>
      <protection hidden="0" locked="0"/>
    </xf>
    <xf applyAlignment="1" borderId="9" fillId="5" fontId="6" numFmtId="169" pivotButton="0" quotePrefix="0" xfId="0">
      <alignment horizontal="center" vertical="center"/>
    </xf>
    <xf applyAlignment="1" borderId="9" fillId="5" fontId="6" numFmtId="1" pivotButton="0" quotePrefix="0" xfId="0">
      <alignment horizontal="center" vertical="center"/>
    </xf>
    <xf applyAlignment="1" applyProtection="1" borderId="4" fillId="2" fontId="10" numFmtId="166" pivotButton="0" quotePrefix="0" xfId="0">
      <alignment horizontal="center" vertical="center" wrapText="1"/>
      <protection hidden="0" locked="0"/>
    </xf>
    <xf applyAlignment="1" borderId="4" fillId="2" fontId="2" numFmtId="0" pivotButton="0" quotePrefix="0" xfId="0">
      <alignment horizontal="center" vertical="center" wrapText="1"/>
    </xf>
    <xf applyAlignment="1" applyProtection="1" borderId="9" fillId="5" fontId="7" numFmtId="1" pivotButton="0" quotePrefix="0" xfId="0">
      <alignment horizontal="center" vertical="center"/>
      <protection hidden="0" locked="0"/>
    </xf>
    <xf applyAlignment="1" applyProtection="1" borderId="9" fillId="2" fontId="2" numFmtId="166" pivotButton="0" quotePrefix="0" xfId="0">
      <alignment horizontal="center" wrapText="1"/>
      <protection hidden="0" locked="0"/>
    </xf>
    <xf applyAlignment="1" applyProtection="1" borderId="0" fillId="3" fontId="7" numFmtId="170" pivotButton="0" quotePrefix="0" xfId="9">
      <alignment horizontal="center" vertical="center"/>
      <protection hidden="0" locked="0"/>
    </xf>
    <xf applyAlignment="1" applyProtection="1" borderId="0" fillId="3" fontId="7" numFmtId="166" pivotButton="0" quotePrefix="0" xfId="0">
      <alignment horizontal="center" vertical="center"/>
      <protection hidden="0" locked="0"/>
    </xf>
    <xf applyProtection="1" borderId="0" fillId="3" fontId="6" numFmtId="166" pivotButton="0" quotePrefix="0" xfId="0">
      <protection hidden="0" locked="0"/>
    </xf>
    <xf applyAlignment="1" borderId="1" fillId="2" fontId="2" numFmtId="0" pivotButton="0" quotePrefix="0" xfId="0">
      <alignment horizontal="center" vertical="center" wrapText="1"/>
    </xf>
    <xf applyAlignment="1" applyProtection="1" borderId="9" fillId="5" fontId="6" numFmtId="166" pivotButton="0" quotePrefix="0" xfId="0">
      <alignment horizontal="center" vertical="center"/>
      <protection hidden="0" locked="0"/>
    </xf>
    <xf applyProtection="1" borderId="0" fillId="0" fontId="15" numFmtId="0" pivotButton="0" quotePrefix="0" xfId="0">
      <protection hidden="0" locked="0"/>
    </xf>
    <xf applyAlignment="1" applyProtection="1" borderId="0" fillId="0" fontId="6" numFmtId="0" pivotButton="0" quotePrefix="0" xfId="0">
      <alignment horizontal="center"/>
      <protection hidden="0" locked="0"/>
    </xf>
    <xf applyAlignment="1" applyProtection="1" borderId="0" fillId="0" fontId="0" numFmtId="0" pivotButton="0" quotePrefix="0" xfId="0">
      <alignment horizontal="center"/>
      <protection hidden="0" locked="0"/>
    </xf>
    <xf applyAlignment="1" applyProtection="1" borderId="42" fillId="0" fontId="0" numFmtId="0" pivotButton="0" quotePrefix="0" xfId="0">
      <alignment horizontal="center"/>
      <protection hidden="0" locked="0"/>
    </xf>
    <xf borderId="43" fillId="0" fontId="0" numFmtId="0" pivotButton="0" quotePrefix="0" xfId="0"/>
    <xf applyAlignment="1" applyProtection="1" borderId="44" fillId="0" fontId="1" numFmtId="0" pivotButton="0" quotePrefix="0" xfId="0">
      <alignment horizontal="center" vertical="center"/>
      <protection hidden="0" locked="0"/>
    </xf>
    <xf applyAlignment="1" applyProtection="1" borderId="40" fillId="0" fontId="1" numFmtId="0" pivotButton="0" quotePrefix="0" xfId="0">
      <alignment horizontal="center" vertical="center"/>
      <protection hidden="0" locked="0"/>
    </xf>
    <xf applyAlignment="1" borderId="45" fillId="4" fontId="2" numFmtId="0" pivotButton="0" quotePrefix="0" xfId="0">
      <alignment horizontal="center" vertical="center" wrapText="1"/>
    </xf>
    <xf applyAlignment="1" applyProtection="1" borderId="36" fillId="4" fontId="16" numFmtId="0" pivotButton="0" quotePrefix="0" xfId="0">
      <alignment horizontal="center" vertical="center" wrapText="1"/>
      <protection hidden="0" locked="0"/>
    </xf>
    <xf applyAlignment="1" applyProtection="1" borderId="9" fillId="4" fontId="16" numFmtId="0" pivotButton="0" quotePrefix="0" xfId="0">
      <alignment horizontal="center" vertical="center" wrapText="1"/>
      <protection hidden="0" locked="0"/>
    </xf>
    <xf applyAlignment="1" applyProtection="1" borderId="36" fillId="0" fontId="17" numFmtId="0" pivotButton="0" quotePrefix="0" xfId="0">
      <alignment horizontal="center" vertical="center"/>
      <protection hidden="0" locked="0"/>
    </xf>
    <xf applyAlignment="1" applyProtection="1" borderId="9" fillId="3" fontId="18" numFmtId="2" pivotButton="0" quotePrefix="0" xfId="0">
      <alignment horizontal="center" vertical="center"/>
      <protection hidden="0" locked="0"/>
    </xf>
    <xf applyAlignment="1" applyProtection="1" borderId="45" fillId="7" fontId="17" numFmtId="0" pivotButton="0" quotePrefix="0" xfId="0">
      <alignment horizontal="center" vertical="center"/>
      <protection hidden="0" locked="0"/>
    </xf>
    <xf applyAlignment="1" borderId="36" fillId="4" fontId="3" numFmtId="0" pivotButton="0" quotePrefix="0" xfId="0">
      <alignment horizontal="left" vertical="center" wrapText="1"/>
    </xf>
    <xf applyAlignment="1" borderId="9" fillId="4" fontId="2" numFmtId="0" pivotButton="0" quotePrefix="0" xfId="0">
      <alignment horizontal="center" vertical="center"/>
    </xf>
    <xf applyAlignment="1" borderId="10" fillId="4" fontId="2" numFmtId="0" pivotButton="0" quotePrefix="0" xfId="0">
      <alignment horizontal="left" vertical="center"/>
    </xf>
    <xf applyAlignment="1" borderId="36" fillId="4" fontId="2" numFmtId="0" pivotButton="0" quotePrefix="0" xfId="0">
      <alignment horizontal="left" vertical="center" wrapText="1"/>
    </xf>
    <xf applyAlignment="1" borderId="9" fillId="4" fontId="2" numFmtId="0" pivotButton="0" quotePrefix="0" xfId="0">
      <alignment horizontal="left" vertical="center"/>
    </xf>
    <xf applyAlignment="1" borderId="46" fillId="4" fontId="3" numFmtId="0" pivotButton="0" quotePrefix="0" xfId="0">
      <alignment horizontal="left" vertical="center" wrapText="1"/>
    </xf>
    <xf applyAlignment="1" borderId="9" fillId="4" fontId="3" numFmtId="0" pivotButton="0" quotePrefix="0" xfId="0">
      <alignment horizontal="left" vertical="center"/>
    </xf>
    <xf applyAlignment="1" applyProtection="1" borderId="9" fillId="5" fontId="7" numFmtId="10" pivotButton="0" quotePrefix="0" xfId="9">
      <alignment horizontal="center" vertical="center"/>
      <protection hidden="0" locked="0"/>
    </xf>
    <xf applyAlignment="1" borderId="9" fillId="5" fontId="7" numFmtId="10" pivotButton="0" quotePrefix="0" xfId="9">
      <alignment horizontal="center" vertical="center"/>
    </xf>
    <xf applyAlignment="1" borderId="38" fillId="4" fontId="3" numFmtId="171" pivotButton="0" quotePrefix="0" xfId="31">
      <alignment horizontal="left" vertical="center" wrapText="1"/>
    </xf>
    <xf applyAlignment="1" borderId="20" fillId="4" fontId="3" numFmtId="171" pivotButton="0" quotePrefix="0" xfId="31">
      <alignment horizontal="left" vertical="center"/>
    </xf>
    <xf applyAlignment="1" borderId="20" fillId="5" fontId="7" numFmtId="2" pivotButton="0" quotePrefix="0" xfId="0">
      <alignment horizontal="center" vertical="center"/>
    </xf>
    <xf applyAlignment="1" borderId="4" fillId="4" fontId="2" numFmtId="0" pivotButton="0" quotePrefix="0" xfId="0">
      <alignment horizontal="center" vertical="center" wrapText="1"/>
    </xf>
    <xf applyAlignment="1" borderId="9" fillId="4" fontId="2" numFmtId="0" pivotButton="0" quotePrefix="0" xfId="0">
      <alignment horizontal="center" vertical="center" wrapText="1"/>
    </xf>
    <xf applyAlignment="1" borderId="9" fillId="0" fontId="5" numFmtId="164" pivotButton="0" quotePrefix="0" xfId="0">
      <alignment horizontal="center" vertical="center"/>
    </xf>
    <xf applyAlignment="1" borderId="9" fillId="0" fontId="5" numFmtId="2" pivotButton="0" quotePrefix="0" xfId="0">
      <alignment horizontal="center" vertical="center"/>
    </xf>
    <xf applyAlignment="1" borderId="9" fillId="4" fontId="3" numFmtId="0" pivotButton="0" quotePrefix="0" xfId="0">
      <alignment horizontal="center" vertical="center" wrapText="1"/>
    </xf>
    <xf applyAlignment="1" borderId="9" fillId="0" fontId="4" numFmtId="2" pivotButton="0" quotePrefix="0" xfId="0">
      <alignment horizontal="center" vertical="center"/>
    </xf>
    <xf borderId="47" fillId="0" fontId="0" numFmtId="0" pivotButton="0" quotePrefix="0" xfId="0"/>
    <xf borderId="48" fillId="0" fontId="0" numFmtId="0" pivotButton="0" quotePrefix="0" xfId="0"/>
    <xf applyAlignment="1" borderId="30" fillId="4" fontId="3" numFmtId="0" pivotButton="0" quotePrefix="0" xfId="0">
      <alignment horizontal="center" vertical="center" wrapText="1"/>
    </xf>
    <xf applyAlignment="1" borderId="30" fillId="4" fontId="2" numFmtId="0" pivotButton="0" quotePrefix="0" xfId="0">
      <alignment horizontal="center" vertical="center"/>
    </xf>
    <xf applyAlignment="1" borderId="30" fillId="0" fontId="4" numFmtId="2" pivotButton="0" quotePrefix="0" xfId="0">
      <alignment horizontal="center" vertical="center"/>
    </xf>
    <xf applyAlignment="1" borderId="41" fillId="3" fontId="2" numFmtId="0" pivotButton="0" quotePrefix="0" xfId="0">
      <alignment horizontal="left" vertical="top" wrapText="1"/>
    </xf>
    <xf borderId="49" fillId="0" fontId="0" numFmtId="0" pivotButton="0" quotePrefix="0" xfId="0"/>
    <xf borderId="39" fillId="0" fontId="0" numFmtId="0" pivotButton="0" quotePrefix="0" xfId="0"/>
    <xf borderId="50" fillId="0" fontId="0" numFmtId="0" pivotButton="0" quotePrefix="0" xfId="0"/>
    <xf borderId="51" fillId="0" fontId="0" numFmtId="0" pivotButton="0" quotePrefix="0" xfId="0"/>
    <xf applyAlignment="1" applyProtection="1" borderId="8" fillId="0" fontId="0" numFmtId="0" pivotButton="0" quotePrefix="0" xfId="0">
      <alignment horizontal="center"/>
      <protection hidden="0" locked="0"/>
    </xf>
    <xf applyAlignment="1" applyProtection="1" borderId="9" fillId="7" fontId="5" numFmtId="0" pivotButton="0" quotePrefix="0" xfId="0">
      <alignment horizontal="center" vertical="center"/>
      <protection hidden="0" locked="0"/>
    </xf>
    <xf applyAlignment="1" borderId="4" fillId="2" fontId="10" numFmtId="0" pivotButton="0" quotePrefix="0" xfId="0">
      <alignment horizontal="center" vertical="center" wrapText="1"/>
    </xf>
    <xf applyAlignment="1" borderId="42" fillId="2" fontId="2" numFmtId="0" pivotButton="0" quotePrefix="0" xfId="0">
      <alignment horizontal="center" textRotation="90" vertical="center" wrapText="1"/>
    </xf>
    <xf borderId="52" fillId="0" fontId="0" numFmtId="0" pivotButton="0" quotePrefix="0" xfId="0"/>
    <xf borderId="37" fillId="0" fontId="0" numFmtId="0" pivotButton="0" quotePrefix="0" xfId="0"/>
    <xf applyAlignment="1" borderId="23" fillId="2" fontId="19" numFmtId="0" pivotButton="0" quotePrefix="0" xfId="0">
      <alignment horizontal="center" vertical="center" wrapText="1"/>
    </xf>
    <xf applyAlignment="1" borderId="23" fillId="2" fontId="19" numFmtId="0" pivotButton="0" quotePrefix="0" xfId="0">
      <alignment vertical="center"/>
    </xf>
    <xf applyAlignment="1" borderId="9" fillId="2" fontId="19" numFmtId="0" pivotButton="0" quotePrefix="0" xfId="0">
      <alignment vertical="center"/>
    </xf>
    <xf applyAlignment="1" borderId="9" fillId="2" fontId="19" numFmtId="0" pivotButton="0" quotePrefix="0" xfId="0">
      <alignment horizontal="center" vertical="center" wrapText="1"/>
    </xf>
    <xf applyAlignment="1" borderId="9" fillId="2" fontId="19" numFmtId="0" pivotButton="0" quotePrefix="0" xfId="0">
      <alignment horizontal="left" vertical="center"/>
    </xf>
    <xf applyAlignment="1" borderId="9" fillId="2" fontId="19" numFmtId="0" pivotButton="0" quotePrefix="0" xfId="0">
      <alignment horizontal="left" vertical="center" wrapText="1"/>
    </xf>
    <xf applyAlignment="1" borderId="20" fillId="2" fontId="20" numFmtId="49" pivotButton="0" quotePrefix="0" xfId="42">
      <alignment horizontal="left" vertical="center" wrapText="1"/>
    </xf>
    <xf applyAlignment="1" applyProtection="1" borderId="23" fillId="4" fontId="2" numFmtId="0" pivotButton="0" quotePrefix="0" xfId="0">
      <alignment horizontal="center" vertical="center"/>
      <protection hidden="0" locked="0"/>
    </xf>
    <xf applyAlignment="1" applyProtection="1" borderId="53" fillId="4" fontId="2" numFmtId="0" pivotButton="0" quotePrefix="0" xfId="0">
      <alignment horizontal="center" vertical="center"/>
      <protection hidden="0" locked="0"/>
    </xf>
    <xf applyAlignment="1" applyProtection="1" borderId="9" fillId="5" fontId="12" numFmtId="0" pivotButton="0" quotePrefix="0" xfId="0">
      <alignment horizontal="center" vertical="center"/>
      <protection hidden="0" locked="0"/>
    </xf>
    <xf applyAlignment="1" applyProtection="1" borderId="30" fillId="5" fontId="12" numFmtId="0" pivotButton="0" quotePrefix="0" xfId="0">
      <alignment horizontal="center" vertical="center"/>
      <protection hidden="0" locked="0"/>
    </xf>
    <xf applyAlignment="1" borderId="9" fillId="5" fontId="12" numFmtId="1" pivotButton="0" quotePrefix="0" xfId="0">
      <alignment horizontal="center" vertical="center" wrapText="1"/>
    </xf>
    <xf applyAlignment="1" borderId="30" fillId="5" fontId="12" numFmtId="1" pivotButton="0" quotePrefix="0" xfId="0">
      <alignment horizontal="center" vertical="center" wrapText="1"/>
    </xf>
    <xf applyAlignment="1" borderId="9" fillId="5" fontId="12" numFmtId="2" pivotButton="0" quotePrefix="0" xfId="0">
      <alignment horizontal="center" vertical="center"/>
    </xf>
    <xf applyAlignment="1" borderId="30" fillId="5" fontId="12" numFmtId="2" pivotButton="0" quotePrefix="0" xfId="0">
      <alignment horizontal="center" vertical="center"/>
    </xf>
    <xf applyAlignment="1" applyProtection="1" borderId="23" fillId="3" fontId="4" numFmtId="2" pivotButton="0" quotePrefix="0" xfId="0">
      <alignment horizontal="center" vertical="center"/>
      <protection hidden="0" locked="0"/>
    </xf>
    <xf applyAlignment="1" applyProtection="1" borderId="53" fillId="3" fontId="4" numFmtId="2" pivotButton="0" quotePrefix="0" xfId="0">
      <alignment horizontal="center" vertical="center"/>
      <protection hidden="0" locked="0"/>
    </xf>
    <xf applyAlignment="1" applyProtection="1" borderId="30" fillId="3" fontId="4" numFmtId="2" pivotButton="0" quotePrefix="0" xfId="0">
      <alignment horizontal="center" vertical="center"/>
      <protection hidden="0" locked="0"/>
    </xf>
    <xf applyAlignment="1" borderId="9" fillId="5" fontId="12" numFmtId="10" pivotButton="0" quotePrefix="0" xfId="9">
      <alignment horizontal="center" vertical="center"/>
    </xf>
    <xf applyAlignment="1" borderId="30" fillId="5" fontId="12" numFmtId="10" pivotButton="0" quotePrefix="0" xfId="9">
      <alignment horizontal="center" vertical="center"/>
    </xf>
    <xf applyAlignment="1" borderId="41" fillId="0" fontId="21" numFmtId="0" pivotButton="0" quotePrefix="0" xfId="42">
      <alignment horizontal="left" vertical="center"/>
    </xf>
    <xf borderId="54" fillId="0" fontId="0" numFmtId="0" pivotButton="0" quotePrefix="0" xfId="0"/>
    <xf applyAlignment="1" applyProtection="1" borderId="0" fillId="0" fontId="15" numFmtId="0" pivotButton="0" quotePrefix="0" xfId="0">
      <alignment horizontal="center"/>
      <protection hidden="0" locked="0"/>
    </xf>
    <xf applyAlignment="1" borderId="9" fillId="3" fontId="2" numFmtId="0" pivotButton="0" quotePrefix="0" xfId="0">
      <alignment horizontal="left" vertical="top" wrapText="1"/>
    </xf>
    <xf applyProtection="1" borderId="0" fillId="3" fontId="6" numFmtId="0" pivotButton="0" quotePrefix="0" xfId="0">
      <protection hidden="0" locked="0"/>
    </xf>
    <xf applyAlignment="1" applyProtection="1" borderId="0" fillId="0" fontId="6" numFmtId="0" pivotButton="0" quotePrefix="0" xfId="0">
      <alignment horizontal="left"/>
      <protection hidden="0" locked="0"/>
    </xf>
    <xf applyAlignment="1" applyProtection="1" borderId="55" fillId="0" fontId="0" numFmtId="0" pivotButton="0" quotePrefix="0" xfId="0">
      <alignment horizontal="center"/>
      <protection hidden="0" locked="0"/>
    </xf>
    <xf borderId="56" fillId="0" fontId="0" numFmtId="0" pivotButton="0" quotePrefix="0" xfId="0"/>
    <xf borderId="57" fillId="0" fontId="0" numFmtId="0" pivotButton="0" quotePrefix="0" xfId="0"/>
    <xf borderId="58" fillId="0" fontId="0" numFmtId="0" pivotButton="0" quotePrefix="0" xfId="0"/>
    <xf applyAlignment="1" applyProtection="1" borderId="59" fillId="0" fontId="1" numFmtId="0" pivotButton="0" quotePrefix="0" xfId="0">
      <alignment horizontal="center" vertical="center"/>
      <protection hidden="0" locked="0"/>
    </xf>
    <xf applyAlignment="1" applyProtection="1" borderId="42" fillId="2" fontId="2" numFmtId="0" pivotButton="0" quotePrefix="0" xfId="0">
      <alignment horizontal="center" textRotation="90" vertical="center" wrapText="1"/>
      <protection hidden="0" locked="0"/>
    </xf>
    <xf applyAlignment="1" borderId="23" fillId="2" fontId="2" numFmtId="0" pivotButton="0" quotePrefix="0" xfId="0">
      <alignment horizontal="center" vertical="center" wrapText="1"/>
    </xf>
    <xf applyAlignment="1" applyProtection="1" borderId="9" fillId="2" fontId="2" numFmtId="0" pivotButton="0" quotePrefix="0" xfId="0">
      <alignment horizontal="center" vertical="center"/>
      <protection hidden="0" locked="0"/>
    </xf>
    <xf applyAlignment="1" applyProtection="1" borderId="9" fillId="6" fontId="2" numFmtId="0" pivotButton="0" quotePrefix="0" xfId="0">
      <alignment horizontal="center" vertical="center"/>
      <protection hidden="0" locked="0"/>
    </xf>
    <xf applyAlignment="1" applyProtection="1" borderId="20" fillId="2" fontId="2" numFmtId="0" pivotButton="0" quotePrefix="0" xfId="0">
      <alignment horizontal="center" vertical="center"/>
      <protection hidden="0" locked="0"/>
    </xf>
    <xf applyAlignment="1" applyProtection="1" borderId="20" fillId="6" fontId="2" numFmtId="0" pivotButton="0" quotePrefix="0" xfId="0">
      <alignment horizontal="center" vertical="center"/>
      <protection hidden="0" locked="0"/>
    </xf>
    <xf applyAlignment="1" applyProtection="1" borderId="20" fillId="0" fontId="5" numFmtId="2" pivotButton="0" quotePrefix="0" xfId="0">
      <alignment horizontal="center" vertical="center"/>
      <protection hidden="0" locked="0"/>
    </xf>
    <xf applyAlignment="1" applyProtection="1" borderId="0" fillId="7" fontId="2" numFmtId="0" pivotButton="0" quotePrefix="0" xfId="0">
      <alignment horizontal="center" textRotation="90" vertical="center"/>
      <protection hidden="0" locked="0"/>
    </xf>
    <xf applyAlignment="1" applyProtection="1" borderId="0" fillId="7" fontId="2" numFmtId="0" pivotButton="0" quotePrefix="0" xfId="0">
      <alignment horizontal="center" vertical="center"/>
      <protection hidden="0" locked="0"/>
    </xf>
    <xf applyAlignment="1" applyProtection="1" borderId="0" fillId="7" fontId="5" numFmtId="2" pivotButton="0" quotePrefix="0" xfId="0">
      <alignment horizontal="center" vertical="center"/>
      <protection hidden="0" locked="0"/>
    </xf>
    <xf applyAlignment="1" borderId="9" fillId="6" fontId="2" numFmtId="0" pivotButton="0" quotePrefix="0" xfId="0">
      <alignment horizontal="center" vertical="center"/>
    </xf>
    <xf applyAlignment="1" borderId="20" fillId="6" fontId="2" numFmtId="0" pivotButton="0" quotePrefix="0" xfId="0">
      <alignment horizontal="center" vertical="center"/>
    </xf>
    <xf applyAlignment="1" borderId="0" fillId="7" fontId="2" numFmtId="0" pivotButton="0" quotePrefix="0" xfId="0">
      <alignment horizontal="center" vertical="center"/>
    </xf>
    <xf applyAlignment="1" applyProtection="1" borderId="20" fillId="3" fontId="5" numFmtId="0" pivotButton="0" quotePrefix="0" xfId="0">
      <alignment horizontal="center" vertical="center"/>
      <protection hidden="0" locked="0"/>
    </xf>
    <xf applyAlignment="1" borderId="18" fillId="2" fontId="2" numFmtId="0" pivotButton="0" quotePrefix="0" xfId="0">
      <alignment horizontal="center" vertical="center" wrapText="1"/>
    </xf>
    <xf applyAlignment="1" applyProtection="1" borderId="16" fillId="0" fontId="6" numFmtId="0" pivotButton="0" quotePrefix="0" xfId="0">
      <alignment horizontal="left" vertical="top" wrapText="1"/>
      <protection hidden="0" locked="0"/>
    </xf>
    <xf applyAlignment="1" borderId="11" fillId="2" fontId="2" numFmtId="0" pivotButton="0" quotePrefix="0" xfId="0">
      <alignment horizontal="center" vertical="center"/>
    </xf>
    <xf borderId="60" fillId="0" fontId="0" numFmtId="0" pivotButton="0" quotePrefix="0" xfId="0"/>
    <xf applyAlignment="1" applyProtection="1" borderId="11" fillId="0" fontId="5" numFmtId="0" pivotButton="0" quotePrefix="0" xfId="0">
      <alignment horizontal="center" vertical="center"/>
      <protection hidden="0" locked="0"/>
    </xf>
    <xf applyAlignment="1" applyProtection="1" borderId="32" fillId="0" fontId="5" numFmtId="0" pivotButton="0" quotePrefix="0" xfId="0">
      <alignment horizontal="center" vertical="center"/>
      <protection hidden="0" locked="0"/>
    </xf>
    <xf applyAlignment="1" borderId="0" fillId="7" fontId="7" numFmtId="2" pivotButton="0" quotePrefix="0" xfId="0">
      <alignment horizontal="center" vertical="center"/>
    </xf>
    <xf applyAlignment="1" applyProtection="1" borderId="0" fillId="7" fontId="5" numFmtId="0" pivotButton="0" quotePrefix="0" xfId="0">
      <alignment horizontal="center" vertical="center"/>
      <protection hidden="0" locked="0"/>
    </xf>
    <xf applyAlignment="1" applyProtection="1" borderId="61" fillId="0" fontId="6" numFmtId="0" pivotButton="0" quotePrefix="0" xfId="0">
      <alignment horizontal="left" vertical="top" wrapText="1"/>
      <protection hidden="0" locked="0"/>
    </xf>
    <xf borderId="35" fillId="0" fontId="0" numFmtId="0" pivotButton="0" quotePrefix="0" xfId="0"/>
    <xf applyAlignment="1" applyProtection="1" borderId="11" fillId="0" fontId="5" numFmtId="2" pivotButton="0" quotePrefix="0" xfId="0">
      <alignment horizontal="center" vertical="center"/>
      <protection hidden="0" locked="0"/>
    </xf>
    <xf applyAlignment="1" applyProtection="1" borderId="11" fillId="0" fontId="5" numFmtId="166" pivotButton="0" quotePrefix="0" xfId="0">
      <alignment horizontal="center" vertical="center"/>
      <protection hidden="0" locked="0"/>
    </xf>
    <xf applyAlignment="1" applyProtection="1" borderId="11" fillId="3" fontId="5" numFmtId="0" pivotButton="0" quotePrefix="0" xfId="0">
      <alignment horizontal="center" vertical="center"/>
      <protection hidden="0" locked="0"/>
    </xf>
    <xf applyAlignment="1" applyProtection="1" borderId="32" fillId="3" fontId="5" numFmtId="166" pivotButton="0" quotePrefix="0" xfId="0">
      <alignment horizontal="center" vertical="center"/>
      <protection hidden="0" locked="0"/>
    </xf>
    <xf borderId="62" fillId="0" fontId="0" numFmtId="0" pivotButton="0" quotePrefix="0" xfId="0"/>
    <xf applyAlignment="1" borderId="0" fillId="0" fontId="0" numFmtId="0" pivotButton="0" quotePrefix="0" xfId="0">
      <alignment vertical="center"/>
    </xf>
    <xf applyAlignment="1" borderId="36" fillId="2" fontId="16" numFmtId="0" pivotButton="0" quotePrefix="0" xfId="0">
      <alignment horizontal="center" vertical="center" wrapText="1"/>
    </xf>
    <xf applyAlignment="1" borderId="9" fillId="2" fontId="16" numFmtId="0" pivotButton="0" quotePrefix="0" xfId="0">
      <alignment horizontal="center" vertical="center" wrapText="1"/>
    </xf>
    <xf applyAlignment="1" borderId="9" fillId="2" fontId="22" numFmtId="0" pivotButton="0" quotePrefix="0" xfId="0">
      <alignment horizontal="center" vertical="center" wrapText="1"/>
    </xf>
    <xf applyAlignment="1" borderId="9" fillId="2" fontId="16" numFmtId="0" pivotButton="0" quotePrefix="0" xfId="0">
      <alignment horizontal="center" vertical="center"/>
    </xf>
    <xf applyAlignment="1" borderId="9" fillId="4" fontId="16" numFmtId="0" pivotButton="0" quotePrefix="0" xfId="0">
      <alignment horizontal="center" vertical="center"/>
    </xf>
    <xf applyAlignment="1" borderId="9" fillId="0" fontId="17" numFmtId="0" pivotButton="0" quotePrefix="0" xfId="0">
      <alignment horizontal="center" vertical="center"/>
    </xf>
    <xf applyAlignment="1" borderId="9" fillId="0" fontId="17" numFmtId="2" pivotButton="0" quotePrefix="0" xfId="0">
      <alignment horizontal="center" vertical="center"/>
    </xf>
    <xf applyAlignment="1" borderId="45" fillId="7" fontId="16" numFmtId="0" pivotButton="0" quotePrefix="0" xfId="0">
      <alignment horizontal="center" vertical="center" wrapText="1"/>
    </xf>
    <xf applyAlignment="1" borderId="36" fillId="2" fontId="16" numFmtId="0" pivotButton="0" quotePrefix="0" xfId="0">
      <alignment horizontal="center" wrapText="1"/>
    </xf>
    <xf applyAlignment="1" borderId="36" fillId="2" fontId="22" numFmtId="0" pivotButton="0" quotePrefix="0" xfId="0">
      <alignment horizontal="center" wrapText="1"/>
    </xf>
    <xf applyAlignment="1" borderId="9" fillId="2" fontId="22" numFmtId="0" pivotButton="0" quotePrefix="0" xfId="0">
      <alignment horizontal="center" wrapText="1"/>
    </xf>
    <xf applyAlignment="1" borderId="36" fillId="0" fontId="17" numFmtId="0" pivotButton="0" quotePrefix="0" xfId="0">
      <alignment horizontal="center" vertical="center"/>
    </xf>
    <xf applyAlignment="1" borderId="38" fillId="0" fontId="15" numFmtId="0" pivotButton="0" quotePrefix="0" xfId="0">
      <alignment horizontal="left" wrapText="1"/>
    </xf>
    <xf applyAlignment="1" borderId="9" fillId="3" fontId="17" numFmtId="2" pivotButton="0" quotePrefix="0" xfId="35">
      <alignment horizontal="center" vertical="center"/>
    </xf>
    <xf applyAlignment="1" borderId="9" fillId="3" fontId="17" numFmtId="164" pivotButton="0" quotePrefix="0" xfId="35">
      <alignment horizontal="center" vertical="center"/>
    </xf>
    <xf applyAlignment="1" borderId="9" fillId="5" fontId="23" numFmtId="2" pivotButton="0" quotePrefix="0" xfId="35">
      <alignment horizontal="center" vertical="center"/>
    </xf>
    <xf applyAlignment="1" borderId="9" fillId="5" fontId="23" numFmtId="164" pivotButton="0" quotePrefix="0" xfId="35">
      <alignment horizontal="center" vertical="center"/>
    </xf>
    <xf applyAlignment="1" borderId="9" fillId="2" fontId="22" numFmtId="2" pivotButton="0" quotePrefix="0" xfId="35">
      <alignment horizontal="center" wrapText="1"/>
    </xf>
    <xf applyAlignment="1" borderId="9" fillId="2" fontId="16" numFmtId="0" pivotButton="0" quotePrefix="0" xfId="0">
      <alignment horizontal="center" wrapText="1"/>
    </xf>
    <xf applyAlignment="1" borderId="30" fillId="2" fontId="16" numFmtId="0" pivotButton="0" quotePrefix="0" xfId="0">
      <alignment horizontal="center" vertical="center" wrapText="1"/>
    </xf>
    <xf borderId="40" fillId="0" fontId="0" numFmtId="0" pivotButton="0" quotePrefix="0" xfId="0"/>
    <xf applyAlignment="1" applyProtection="1" borderId="30" fillId="0" fontId="17" numFmtId="0" pivotButton="0" quotePrefix="0" xfId="0">
      <alignment horizontal="center" vertical="center"/>
      <protection hidden="0" locked="0"/>
    </xf>
    <xf applyAlignment="1" borderId="0" fillId="0" fontId="0" numFmtId="0" pivotButton="0" quotePrefix="0" xfId="0">
      <alignment wrapText="1"/>
    </xf>
    <xf applyAlignment="1" borderId="63" fillId="11" fontId="0" numFmtId="0" pivotButton="0" quotePrefix="0" xfId="0">
      <alignment horizontal="center"/>
    </xf>
    <xf applyAlignment="1" borderId="36" fillId="11" fontId="0" numFmtId="0" pivotButton="0" quotePrefix="0" xfId="0">
      <alignment horizontal="left" vertical="center"/>
    </xf>
    <xf applyAlignment="1" borderId="9" fillId="11" fontId="0" numFmtId="0" pivotButton="0" quotePrefix="0" xfId="0">
      <alignment horizontal="center" vertical="center"/>
    </xf>
    <xf applyAlignment="1" borderId="36" fillId="0" fontId="0" numFmtId="0" pivotButton="0" quotePrefix="0" xfId="0">
      <alignment horizontal="left" vertical="center"/>
    </xf>
    <xf applyAlignment="1" borderId="9" fillId="0" fontId="0" numFmtId="164" pivotButton="0" quotePrefix="0" xfId="0">
      <alignment horizontal="center" vertical="center"/>
    </xf>
    <xf applyAlignment="1" borderId="38" fillId="0" fontId="0" numFmtId="0" pivotButton="0" quotePrefix="0" xfId="0">
      <alignment horizontal="left"/>
    </xf>
    <xf applyAlignment="1" borderId="20" fillId="0" fontId="0" numFmtId="0" pivotButton="0" quotePrefix="0" xfId="0">
      <alignment horizontal="center" vertical="center"/>
    </xf>
    <xf applyAlignment="1" borderId="20" fillId="0" fontId="0" numFmtId="2" pivotButton="0" quotePrefix="0" xfId="0">
      <alignment horizontal="center" vertical="center"/>
    </xf>
    <xf borderId="64" fillId="0" fontId="0" numFmtId="0" pivotButton="0" quotePrefix="0" xfId="0"/>
    <xf applyAlignment="1" borderId="30" fillId="11" fontId="0" numFmtId="0" pivotButton="0" quotePrefix="0" xfId="0">
      <alignment horizontal="center" vertical="center"/>
    </xf>
    <xf applyAlignment="1" borderId="30" fillId="0" fontId="0" numFmtId="2" pivotButton="0" quotePrefix="0" xfId="0">
      <alignment horizontal="center" vertical="center"/>
    </xf>
    <xf applyAlignment="1" borderId="41" fillId="0" fontId="0" numFmtId="2" pivotButton="0" quotePrefix="0" xfId="0">
      <alignment horizontal="center" vertical="center"/>
    </xf>
    <xf applyAlignment="1" applyProtection="1" borderId="16" fillId="0" fontId="0" numFmtId="0" pivotButton="0" quotePrefix="0" xfId="0">
      <alignment horizontal="center"/>
      <protection hidden="0" locked="0"/>
    </xf>
    <xf applyAlignment="1" applyProtection="1" borderId="65" fillId="0" fontId="1" numFmtId="0" pivotButton="0" quotePrefix="0" xfId="0">
      <alignment horizontal="center" vertical="center"/>
      <protection hidden="0" locked="0"/>
    </xf>
    <xf applyAlignment="1" applyProtection="1" borderId="62" fillId="0" fontId="1" numFmtId="0" pivotButton="0" quotePrefix="0" xfId="0">
      <alignment horizontal="center" vertical="center"/>
      <protection hidden="0" locked="0"/>
    </xf>
    <xf applyAlignment="1" applyProtection="1" borderId="36" fillId="4" fontId="2" numFmtId="0" pivotButton="0" quotePrefix="0" xfId="0">
      <alignment horizontal="center" vertical="center" wrapText="1"/>
      <protection hidden="0" locked="0"/>
    </xf>
    <xf applyAlignment="1" applyProtection="1" borderId="9" fillId="4" fontId="2" numFmtId="0" pivotButton="0" quotePrefix="0" xfId="0">
      <alignment horizontal="center" vertical="center" wrapText="1"/>
      <protection hidden="0" locked="0"/>
    </xf>
    <xf applyAlignment="1" applyProtection="1" borderId="9" fillId="4" fontId="10" numFmtId="0" pivotButton="0" quotePrefix="0" xfId="0">
      <alignment horizontal="center" vertical="center" wrapText="1"/>
      <protection hidden="0" locked="0"/>
    </xf>
    <xf applyAlignment="1" applyProtection="1" borderId="66" fillId="0" fontId="5" numFmtId="0" pivotButton="0" quotePrefix="0" xfId="0">
      <alignment horizontal="center" vertical="center"/>
      <protection hidden="0" locked="0"/>
    </xf>
    <xf applyAlignment="1" applyProtection="1" borderId="4" fillId="0" fontId="5" numFmtId="0" pivotButton="0" quotePrefix="0" xfId="0">
      <alignment horizontal="center" vertical="center"/>
      <protection hidden="0" locked="0"/>
    </xf>
    <xf applyAlignment="1" applyProtection="1" borderId="4" fillId="0" fontId="5" numFmtId="0" pivotButton="0" quotePrefix="0" xfId="0">
      <alignment horizontal="center" vertical="center" wrapText="1"/>
      <protection hidden="0" locked="0"/>
    </xf>
    <xf applyAlignment="1" applyProtection="1" borderId="4" fillId="0" fontId="24" numFmtId="0" pivotButton="0" quotePrefix="0" xfId="0">
      <alignment horizontal="center" vertical="center"/>
      <protection hidden="0" locked="0"/>
    </xf>
    <xf applyAlignment="1" applyProtection="1" borderId="42" fillId="4" fontId="2" numFmtId="0" pivotButton="0" quotePrefix="0" xfId="0">
      <alignment horizontal="center" vertical="center" wrapText="1"/>
      <protection hidden="0" locked="0"/>
    </xf>
    <xf applyAlignment="1" applyProtection="1" borderId="23" fillId="4" fontId="2" numFmtId="0" pivotButton="0" quotePrefix="0" xfId="0">
      <alignment horizontal="center" vertical="center" wrapText="1"/>
      <protection hidden="0" locked="0"/>
    </xf>
    <xf applyAlignment="1" applyProtection="1" borderId="55" fillId="4" fontId="2" numFmtId="0" pivotButton="0" quotePrefix="0" xfId="0">
      <alignment horizontal="center" vertical="center" wrapText="1"/>
      <protection hidden="0" locked="0"/>
    </xf>
    <xf borderId="67" fillId="0" fontId="0" numFmtId="0" pivotButton="0" quotePrefix="0" xfId="0"/>
    <xf applyAlignment="1" applyProtection="1" borderId="37" fillId="0" fontId="6" numFmtId="0" pivotButton="0" quotePrefix="0" xfId="0">
      <alignment horizontal="left" vertical="top" wrapText="1"/>
      <protection hidden="0" locked="0"/>
    </xf>
    <xf applyAlignment="1" borderId="36" fillId="0" fontId="2" numFmtId="0" pivotButton="0" quotePrefix="0" xfId="0">
      <alignment horizontal="center" vertical="center" wrapText="1"/>
    </xf>
    <xf applyAlignment="1" borderId="11" fillId="0" fontId="2" numFmtId="0" pivotButton="0" quotePrefix="0" xfId="0">
      <alignment vertical="center" wrapText="1"/>
    </xf>
    <xf applyAlignment="1" borderId="13" fillId="0" fontId="2" numFmtId="0" pivotButton="0" quotePrefix="0" xfId="0">
      <alignment vertical="center"/>
    </xf>
    <xf applyAlignment="1" borderId="9" fillId="0" fontId="2" numFmtId="0" pivotButton="0" quotePrefix="0" xfId="0">
      <alignment horizontal="center" vertical="center" wrapText="1"/>
    </xf>
    <xf applyAlignment="1" borderId="36" fillId="0" fontId="6" numFmtId="164" pivotButton="0" quotePrefix="0" xfId="0">
      <alignment horizontal="center" vertical="center"/>
    </xf>
    <xf applyAlignment="1" borderId="9" fillId="0" fontId="6" numFmtId="0" pivotButton="0" quotePrefix="0" xfId="0">
      <alignment horizontal="left" vertical="center"/>
    </xf>
    <xf applyAlignment="1" borderId="9" fillId="0" fontId="6" numFmtId="0" pivotButton="0" quotePrefix="0" xfId="0">
      <alignment horizontal="center" vertical="center"/>
    </xf>
    <xf applyAlignment="1" borderId="38" fillId="0" fontId="6" numFmtId="164" pivotButton="0" quotePrefix="0" xfId="0">
      <alignment horizontal="center" vertical="center"/>
    </xf>
    <xf applyAlignment="1" borderId="20" fillId="0" fontId="6" numFmtId="0" pivotButton="0" quotePrefix="0" xfId="0">
      <alignment horizontal="left" vertical="center"/>
    </xf>
    <xf applyAlignment="1" borderId="20" fillId="0" fontId="6" numFmtId="0" pivotButton="0" quotePrefix="0" xfId="0">
      <alignment horizontal="center" vertical="center"/>
    </xf>
    <xf applyAlignment="1" applyProtection="1" borderId="30" fillId="4" fontId="2" numFmtId="0" pivotButton="0" quotePrefix="0" xfId="0">
      <alignment horizontal="center" vertical="center" wrapText="1"/>
      <protection hidden="0" locked="0"/>
    </xf>
    <xf applyAlignment="1" applyProtection="1" borderId="68" fillId="0" fontId="5" numFmtId="14" pivotButton="0" quotePrefix="0" xfId="0">
      <alignment horizontal="center" vertical="center"/>
      <protection hidden="0" locked="0"/>
    </xf>
    <xf applyAlignment="1" applyProtection="1" borderId="53" fillId="4" fontId="2" numFmtId="0" pivotButton="0" quotePrefix="0" xfId="0">
      <alignment horizontal="center" vertical="center" wrapText="1"/>
      <protection hidden="0" locked="0"/>
    </xf>
    <xf applyAlignment="1" applyProtection="1" borderId="41" fillId="0" fontId="5" numFmtId="0" pivotButton="0" quotePrefix="0" xfId="0">
      <alignment horizontal="center" vertical="center"/>
      <protection hidden="0" locked="0"/>
    </xf>
    <xf applyAlignment="1" applyProtection="1" borderId="30" fillId="0" fontId="5" numFmtId="0" pivotButton="0" quotePrefix="0" xfId="0">
      <alignment horizontal="center" vertical="center"/>
      <protection hidden="0" locked="0"/>
    </xf>
    <xf applyAlignment="1" applyProtection="1" borderId="30" fillId="3" fontId="5" numFmtId="0" pivotButton="0" quotePrefix="0" xfId="0">
      <alignment horizontal="center" vertical="center"/>
      <protection hidden="0" locked="0"/>
    </xf>
    <xf applyAlignment="1" applyProtection="1" borderId="41" fillId="3" fontId="5" numFmtId="0" pivotButton="0" quotePrefix="0" xfId="0">
      <alignment horizontal="center" vertical="center"/>
      <protection hidden="0" locked="0"/>
    </xf>
    <xf applyAlignment="1" borderId="30" fillId="0" fontId="2" numFmtId="0" pivotButton="0" quotePrefix="0" xfId="0">
      <alignment horizontal="center" vertical="center" wrapText="1"/>
    </xf>
    <xf applyAlignment="1" borderId="30" fillId="0" fontId="6" numFmtId="14" pivotButton="0" quotePrefix="0" xfId="0">
      <alignment horizontal="center" vertical="center"/>
    </xf>
    <xf applyAlignment="1" borderId="41" fillId="0" fontId="6" numFmtId="14" pivotButton="0" quotePrefix="0" xfId="0">
      <alignment horizontal="center" vertical="center"/>
    </xf>
    <xf applyAlignment="1" borderId="9" fillId="14" fontId="3" numFmtId="0" pivotButton="0" quotePrefix="0" xfId="0">
      <alignment horizontal="center" vertical="center"/>
    </xf>
    <xf applyAlignment="1" borderId="9" fillId="14" fontId="3" numFmtId="0" pivotButton="0" quotePrefix="0" xfId="0">
      <alignment horizontal="center" vertical="center" wrapText="1"/>
    </xf>
    <xf applyAlignment="1" borderId="9" fillId="0" fontId="3" numFmtId="0" pivotButton="0" quotePrefix="0" xfId="0">
      <alignment horizontal="center" vertical="center"/>
    </xf>
    <xf applyAlignment="1" borderId="9" fillId="0" fontId="3" numFmtId="0" pivotButton="0" quotePrefix="0" xfId="0">
      <alignment horizontal="left" vertical="center" wrapText="1"/>
    </xf>
    <xf applyAlignment="1" borderId="9" fillId="0" fontId="3" numFmtId="0" pivotButton="0" quotePrefix="0" xfId="0">
      <alignment horizontal="center" vertical="center" wrapText="1"/>
    </xf>
    <xf applyAlignment="1" borderId="9" fillId="14" fontId="3" numFmtId="0" pivotButton="0" quotePrefix="0" xfId="0">
      <alignment horizontal="left" vertical="center" wrapText="1"/>
    </xf>
    <xf applyAlignment="1" borderId="9" fillId="0" fontId="3" numFmtId="164" pivotButton="0" quotePrefix="0" xfId="0">
      <alignment horizontal="left" vertical="center" wrapText="1"/>
    </xf>
    <xf applyAlignment="1" borderId="9" fillId="0" fontId="3" numFmtId="164" pivotButton="0" quotePrefix="0" xfId="0">
      <alignment horizontal="center" vertical="center" wrapText="1"/>
    </xf>
    <xf applyAlignment="1" borderId="9" fillId="14" fontId="3" numFmtId="164" pivotButton="0" quotePrefix="0" xfId="0">
      <alignment horizontal="left" vertical="center" wrapText="1"/>
    </xf>
    <xf applyAlignment="1" borderId="9" fillId="14" fontId="3" numFmtId="164" pivotButton="0" quotePrefix="0" xfId="0">
      <alignment horizontal="center" vertical="center" wrapText="1"/>
    </xf>
    <xf applyAlignment="1" borderId="9" fillId="0" fontId="3" numFmtId="164" pivotButton="0" quotePrefix="0" xfId="0">
      <alignment horizontal="center" vertical="center"/>
    </xf>
    <xf applyAlignment="1" borderId="9" fillId="12" fontId="0" numFmtId="0" pivotButton="0" quotePrefix="0" xfId="0">
      <alignment horizontal="center" vertical="center"/>
    </xf>
    <xf applyAlignment="1" borderId="9" fillId="0" fontId="25" numFmtId="164" pivotButton="0" quotePrefix="0" xfId="0">
      <alignment horizontal="center" vertical="center"/>
    </xf>
    <xf applyAlignment="1" applyProtection="1" borderId="9" fillId="0" fontId="0" numFmtId="164" pivotButton="0" quotePrefix="0" xfId="0">
      <alignment horizontal="center" vertical="center"/>
      <protection hidden="0" locked="0"/>
    </xf>
    <xf applyAlignment="1" borderId="9" fillId="14" fontId="0" numFmtId="164" pivotButton="0" quotePrefix="0" xfId="0">
      <alignment horizontal="center" vertical="center"/>
    </xf>
    <xf applyAlignment="1" borderId="9" fillId="0" fontId="0" numFmtId="0" pivotButton="0" quotePrefix="0" xfId="0">
      <alignment horizontal="center" vertical="center" wrapText="1"/>
    </xf>
    <xf applyAlignment="1" borderId="9" fillId="14" fontId="0" numFmtId="2" pivotButton="0" quotePrefix="0" xfId="0">
      <alignment horizontal="center" vertical="center" wrapText="1"/>
    </xf>
    <xf applyAlignment="1" borderId="9" fillId="14" fontId="0" numFmtId="2" pivotButton="0" quotePrefix="0" xfId="0">
      <alignment horizontal="center" vertical="center"/>
    </xf>
    <xf applyAlignment="1" borderId="9" fillId="5" fontId="0" numFmtId="9" pivotButton="0" quotePrefix="0" xfId="9">
      <alignment horizontal="center" vertical="center"/>
    </xf>
    <xf applyAlignment="1" borderId="9" fillId="0" fontId="12" numFmtId="164" pivotButton="0" quotePrefix="0" xfId="0">
      <alignment horizontal="center" vertical="center"/>
    </xf>
    <xf applyAlignment="1" borderId="9" fillId="16" fontId="0" numFmtId="1" pivotButton="0" quotePrefix="0" xfId="0">
      <alignment horizontal="center" vertical="center"/>
    </xf>
    <xf applyAlignment="1" borderId="9" fillId="16" fontId="0" numFmtId="164" pivotButton="0" quotePrefix="0" xfId="0">
      <alignment horizontal="center" vertical="center"/>
    </xf>
    <xf applyAlignment="1" borderId="9" fillId="16" fontId="0" numFmtId="9" pivotButton="0" quotePrefix="0" xfId="9">
      <alignment horizontal="center" vertical="center"/>
    </xf>
    <xf applyAlignment="1" borderId="9" fillId="16" fontId="0" numFmtId="2" pivotButton="0" quotePrefix="0" xfId="0">
      <alignment horizontal="center" vertical="center" wrapText="1"/>
    </xf>
    <xf applyAlignment="1" borderId="9" fillId="16" fontId="0" numFmtId="164" pivotButton="0" quotePrefix="0" xfId="9">
      <alignment horizontal="center" vertical="center"/>
    </xf>
    <xf applyAlignment="1" borderId="9" fillId="0" fontId="0" numFmtId="9" pivotButton="0" quotePrefix="0" xfId="0">
      <alignment horizontal="center" vertical="center"/>
    </xf>
    <xf borderId="0" fillId="0" fontId="0" numFmtId="49" pivotButton="0" quotePrefix="0" xfId="0"/>
    <xf applyAlignment="1" borderId="11" fillId="2" fontId="10" numFmtId="0" pivotButton="0" quotePrefix="0" xfId="0">
      <alignment horizontal="left" vertical="center" wrapText="1"/>
    </xf>
    <xf applyAlignment="1" borderId="13" fillId="2" fontId="10" numFmtId="0" pivotButton="0" quotePrefix="0" xfId="0">
      <alignment horizontal="left" vertical="center"/>
    </xf>
    <xf applyAlignment="1" borderId="10" fillId="2" fontId="2" numFmtId="49" pivotButton="0" quotePrefix="0" xfId="0">
      <alignment horizontal="center" vertical="center" wrapText="1"/>
    </xf>
    <xf applyAlignment="1" borderId="55" fillId="4" fontId="2" numFmtId="0" pivotButton="0" quotePrefix="0" xfId="0">
      <alignment horizontal="center" vertical="center" wrapText="1"/>
    </xf>
    <xf applyAlignment="1" borderId="18" fillId="4" fontId="2" numFmtId="0" pivotButton="0" quotePrefix="0" xfId="0">
      <alignment vertical="center" wrapText="1"/>
    </xf>
    <xf applyAlignment="1" borderId="23" fillId="0" fontId="5" numFmtId="0" pivotButton="0" quotePrefix="0" xfId="0">
      <alignment horizontal="left" vertical="center" wrapText="1"/>
    </xf>
    <xf applyAlignment="1" applyProtection="1" borderId="23" fillId="0" fontId="5" numFmtId="49" pivotButton="0" quotePrefix="0" xfId="0">
      <alignment horizontal="center" vertical="center"/>
      <protection hidden="0" locked="0"/>
    </xf>
    <xf applyAlignment="1" borderId="11" fillId="4" fontId="2" numFmtId="0" pivotButton="0" quotePrefix="0" xfId="0">
      <alignment vertical="center" wrapText="1"/>
    </xf>
    <xf applyAlignment="1" borderId="9" fillId="0" fontId="5" numFmtId="0" pivotButton="0" quotePrefix="0" xfId="0">
      <alignment horizontal="left" vertical="center" wrapText="1"/>
    </xf>
    <xf applyAlignment="1" applyProtection="1" borderId="9" fillId="0" fontId="5" numFmtId="49" pivotButton="0" quotePrefix="0" xfId="0">
      <alignment horizontal="center" vertical="center"/>
      <protection hidden="0" locked="0"/>
    </xf>
    <xf applyAlignment="1" borderId="3" fillId="0" fontId="5" numFmtId="49" pivotButton="0" quotePrefix="0" xfId="0">
      <alignment horizontal="center" vertical="center"/>
    </xf>
    <xf applyAlignment="1" borderId="32" fillId="4" fontId="2" numFmtId="0" pivotButton="0" quotePrefix="0" xfId="0">
      <alignment vertical="center" wrapText="1"/>
    </xf>
    <xf applyAlignment="1" borderId="20" fillId="0" fontId="5" numFmtId="0" pivotButton="0" quotePrefix="0" xfId="0">
      <alignment horizontal="left" vertical="center" wrapText="1"/>
    </xf>
    <xf applyAlignment="1" applyProtection="1" borderId="20" fillId="0" fontId="5" numFmtId="49" pivotButton="0" quotePrefix="0" xfId="0">
      <alignment horizontal="center" vertical="center"/>
      <protection hidden="0" locked="0"/>
    </xf>
    <xf applyAlignment="1" borderId="9" fillId="4" fontId="2" numFmtId="0" pivotButton="0" quotePrefix="0" xfId="0">
      <alignment horizontal="left" vertical="center" wrapText="1"/>
    </xf>
    <xf applyAlignment="1" borderId="9" fillId="0" fontId="5" numFmtId="0" pivotButton="0" quotePrefix="0" xfId="0">
      <alignment horizontal="left" vertical="center"/>
    </xf>
    <xf applyAlignment="1" borderId="9" fillId="0" fontId="26" numFmtId="49" pivotButton="0" quotePrefix="0" xfId="0">
      <alignment horizontal="left" vertical="center"/>
    </xf>
    <xf applyAlignment="1" borderId="9" fillId="0" fontId="26" numFmtId="0" pivotButton="0" quotePrefix="0" xfId="0">
      <alignment horizontal="left" vertical="center"/>
    </xf>
    <xf applyAlignment="1" borderId="11" fillId="3" fontId="5" numFmtId="0" pivotButton="0" quotePrefix="0" xfId="0">
      <alignment vertical="center" wrapText="1"/>
    </xf>
    <xf applyAlignment="1" borderId="9" fillId="0" fontId="5" numFmtId="49" pivotButton="0" quotePrefix="0" xfId="0">
      <alignment horizontal="center" vertical="center" wrapText="1"/>
    </xf>
    <xf applyAlignment="1" borderId="23" fillId="0" fontId="5" numFmtId="49" pivotButton="0" quotePrefix="0" xfId="0">
      <alignment horizontal="center" vertical="center" wrapText="1"/>
    </xf>
    <xf applyAlignment="1" borderId="4" fillId="4" fontId="2" numFmtId="0" pivotButton="0" quotePrefix="0" xfId="0">
      <alignment horizontal="left" vertical="center" wrapText="1"/>
    </xf>
    <xf applyAlignment="1" borderId="4" fillId="0" fontId="5" numFmtId="0" pivotButton="0" quotePrefix="0" xfId="0">
      <alignment horizontal="left" vertical="center" wrapText="1"/>
    </xf>
    <xf applyAlignment="1" borderId="10" fillId="0" fontId="26" numFmtId="0" pivotButton="0" quotePrefix="0" xfId="0">
      <alignment horizontal="left" vertical="center"/>
    </xf>
    <xf applyAlignment="1" borderId="9" fillId="0" fontId="5" numFmtId="49" pivotButton="0" quotePrefix="0" xfId="0">
      <alignment horizontal="center" vertical="center"/>
    </xf>
    <xf applyAlignment="1" borderId="9" fillId="0" fontId="13" numFmtId="0" pivotButton="0" quotePrefix="0" xfId="0">
      <alignment horizontal="left" vertical="top" wrapText="1"/>
    </xf>
    <xf applyAlignment="1" borderId="10" fillId="2" fontId="10" numFmtId="0" pivotButton="0" quotePrefix="0" xfId="0">
      <alignment horizontal="center" vertical="center" wrapText="1"/>
    </xf>
    <xf applyAlignment="1" borderId="53" fillId="0" fontId="26" numFmtId="0" pivotButton="0" quotePrefix="0" xfId="0">
      <alignment vertical="center"/>
    </xf>
    <xf applyAlignment="1" borderId="30" fillId="0" fontId="26" numFmtId="0" pivotButton="0" quotePrefix="0" xfId="0">
      <alignment vertical="center"/>
    </xf>
    <xf applyAlignment="1" borderId="41" fillId="0" fontId="26" numFmtId="0" pivotButton="0" quotePrefix="0" xfId="0">
      <alignment vertical="center"/>
    </xf>
    <xf borderId="9" fillId="0" fontId="26" numFmtId="0" pivotButton="0" quotePrefix="0" xfId="0"/>
    <xf applyAlignment="1" borderId="9" fillId="0" fontId="26" numFmtId="0" pivotButton="0" quotePrefix="0" xfId="0">
      <alignment vertical="center"/>
    </xf>
    <xf applyAlignment="1" borderId="4" fillId="0" fontId="26" numFmtId="0" pivotButton="0" quotePrefix="0" xfId="0">
      <alignment vertical="center"/>
    </xf>
    <xf applyAlignment="1" borderId="9" fillId="0" fontId="0" numFmtId="164" pivotButton="0" quotePrefix="0" xfId="0">
      <alignment horizontal="center" vertical="center"/>
    </xf>
    <xf applyAlignment="1" borderId="9" fillId="0" fontId="25" numFmtId="164" pivotButton="0" quotePrefix="0" xfId="0">
      <alignment horizontal="center" vertical="center"/>
    </xf>
    <xf applyAlignment="1" borderId="9" fillId="5" fontId="0" numFmtId="164" pivotButton="0" quotePrefix="0" xfId="0">
      <alignment horizontal="center" vertical="center"/>
    </xf>
    <xf applyAlignment="1" applyProtection="1" borderId="9" fillId="0" fontId="0" numFmtId="164" pivotButton="0" quotePrefix="0" xfId="0">
      <alignment horizontal="center" vertical="center"/>
      <protection hidden="0" locked="0"/>
    </xf>
    <xf applyAlignment="1" borderId="9" fillId="14" fontId="0" numFmtId="164" pivotButton="0" quotePrefix="0" xfId="0">
      <alignment horizontal="center" vertical="center"/>
    </xf>
    <xf applyAlignment="1" borderId="9" fillId="0" fontId="3" numFmtId="164" pivotButton="0" quotePrefix="0" xfId="0">
      <alignment horizontal="left" vertical="center" wrapText="1"/>
    </xf>
    <xf applyAlignment="1" borderId="9" fillId="0" fontId="3" numFmtId="164" pivotButton="0" quotePrefix="0" xfId="0">
      <alignment horizontal="center" vertical="center" wrapText="1"/>
    </xf>
    <xf applyAlignment="1" borderId="9" fillId="14" fontId="3" numFmtId="164" pivotButton="0" quotePrefix="0" xfId="0">
      <alignment horizontal="left" vertical="center" wrapText="1"/>
    </xf>
    <xf applyAlignment="1" borderId="9" fillId="14" fontId="3" numFmtId="164" pivotButton="0" quotePrefix="0" xfId="0">
      <alignment horizontal="center" vertical="center" wrapText="1"/>
    </xf>
    <xf applyAlignment="1" borderId="9" fillId="0" fontId="3" numFmtId="164" pivotButton="0" quotePrefix="0" xfId="0">
      <alignment horizontal="center" vertical="center"/>
    </xf>
    <xf applyAlignment="1" borderId="9" fillId="0" fontId="12" numFmtId="164" pivotButton="0" quotePrefix="0" xfId="0">
      <alignment horizontal="center" vertical="center"/>
    </xf>
    <xf applyAlignment="1" borderId="9" fillId="16" fontId="0" numFmtId="164" pivotButton="0" quotePrefix="0" xfId="0">
      <alignment horizontal="center" vertical="center"/>
    </xf>
    <xf applyAlignment="1" borderId="9" fillId="16" fontId="0" numFmtId="164" pivotButton="0" quotePrefix="0" xfId="9">
      <alignment horizontal="center" vertical="center"/>
    </xf>
    <xf applyAlignment="1" borderId="36" fillId="0" fontId="6" numFmtId="164" pivotButton="0" quotePrefix="0" xfId="0">
      <alignment horizontal="center" vertical="center"/>
    </xf>
    <xf applyAlignment="1" borderId="38" fillId="0" fontId="6" numFmtId="164" pivotButton="0" quotePrefix="0" xfId="0">
      <alignment horizontal="center" vertical="center"/>
    </xf>
    <xf applyAlignment="1" borderId="9" fillId="3" fontId="17" numFmtId="164" pivotButton="0" quotePrefix="0" xfId="35">
      <alignment horizontal="center" vertical="center"/>
    </xf>
    <xf applyAlignment="1" borderId="9" fillId="5" fontId="23" numFmtId="164" pivotButton="0" quotePrefix="0" xfId="35">
      <alignment horizontal="center" vertical="center"/>
    </xf>
    <xf applyAlignment="1" applyProtection="1" borderId="11" fillId="0" fontId="5" numFmtId="166" pivotButton="0" quotePrefix="0" xfId="0">
      <alignment horizontal="center" vertical="center"/>
      <protection hidden="0" locked="0"/>
    </xf>
    <xf applyAlignment="1" applyProtection="1" borderId="32" fillId="3" fontId="5" numFmtId="166" pivotButton="0" quotePrefix="0" xfId="0">
      <alignment horizontal="center" vertical="center"/>
      <protection hidden="0" locked="0"/>
    </xf>
    <xf applyAlignment="1" borderId="9" fillId="0" fontId="5" numFmtId="164" pivotButton="0" quotePrefix="0" xfId="0">
      <alignment horizontal="center" vertical="center"/>
    </xf>
    <xf applyAlignment="1" borderId="38" fillId="4" fontId="3" numFmtId="171" pivotButton="0" quotePrefix="0" xfId="31">
      <alignment horizontal="left" vertical="center" wrapText="1"/>
    </xf>
    <xf applyAlignment="1" borderId="20" fillId="4" fontId="3" numFmtId="171" pivotButton="0" quotePrefix="0" xfId="31">
      <alignment horizontal="left" vertical="center"/>
    </xf>
    <xf applyProtection="1" borderId="0" fillId="0" fontId="0" numFmtId="166" pivotButton="0" quotePrefix="0" xfId="0">
      <protection hidden="0" locked="0"/>
    </xf>
    <xf applyAlignment="1" borderId="9" fillId="5" fontId="7" numFmtId="166" pivotButton="0" quotePrefix="0" xfId="0">
      <alignment horizontal="center" vertical="center"/>
    </xf>
    <xf applyAlignment="1" borderId="11" fillId="5" fontId="7" numFmtId="166" pivotButton="0" quotePrefix="0" xfId="0">
      <alignment horizontal="center" vertical="center"/>
    </xf>
    <xf applyAlignment="1" applyProtection="1" borderId="9" fillId="5" fontId="12" numFmtId="166" pivotButton="0" quotePrefix="0" xfId="0">
      <alignment horizontal="center" vertical="center"/>
      <protection hidden="0" locked="0"/>
    </xf>
    <xf applyAlignment="1" applyProtection="1" borderId="9" fillId="5" fontId="12" numFmtId="166" pivotButton="0" quotePrefix="0" xfId="9">
      <alignment horizontal="center" vertical="center"/>
      <protection hidden="0" locked="0"/>
    </xf>
    <xf applyAlignment="1" applyProtection="1" borderId="0" fillId="0" fontId="6" numFmtId="166" pivotButton="0" quotePrefix="0" xfId="0">
      <alignment vertical="center"/>
      <protection hidden="0" locked="0"/>
    </xf>
    <xf applyProtection="1" borderId="0" fillId="0" fontId="6" numFmtId="166" pivotButton="0" quotePrefix="0" xfId="0">
      <protection hidden="0" locked="0"/>
    </xf>
    <xf applyAlignment="1" borderId="9" fillId="2" fontId="10" numFmtId="166" pivotButton="0" quotePrefix="0" xfId="0">
      <alignment horizontal="center" vertical="center" wrapText="1"/>
    </xf>
    <xf applyAlignment="1" applyProtection="1" borderId="9" fillId="2" fontId="10" numFmtId="166" pivotButton="0" quotePrefix="0" xfId="0">
      <alignment horizontal="center" vertical="center" wrapText="1"/>
      <protection hidden="0" locked="0"/>
    </xf>
    <xf applyAlignment="1" applyProtection="1" borderId="11" fillId="2" fontId="10" numFmtId="166" pivotButton="0" quotePrefix="0" xfId="0">
      <alignment horizontal="center" vertical="center" wrapText="1"/>
      <protection hidden="0" locked="0"/>
    </xf>
    <xf applyAlignment="1" borderId="13" fillId="2" fontId="10" numFmtId="166" pivotButton="0" quotePrefix="0" xfId="0">
      <alignment horizontal="center" vertical="center"/>
    </xf>
    <xf applyAlignment="1" borderId="9" fillId="2" fontId="10" numFmtId="166" pivotButton="0" quotePrefix="0" xfId="0">
      <alignment horizontal="center" vertical="center"/>
    </xf>
    <xf applyAlignment="1" applyProtection="1" borderId="9" fillId="2" fontId="10" numFmtId="166" pivotButton="0" quotePrefix="0" xfId="0">
      <alignment horizontal="center" vertical="center"/>
      <protection hidden="0" locked="0"/>
    </xf>
    <xf applyAlignment="1" applyProtection="1" borderId="8" fillId="5" fontId="7" numFmtId="166" pivotButton="0" quotePrefix="0" xfId="0">
      <alignment horizontal="center" vertical="center"/>
      <protection hidden="0" locked="0"/>
    </xf>
    <xf applyAlignment="1" applyProtection="1" borderId="9" fillId="5" fontId="7" numFmtId="166" pivotButton="0" quotePrefix="0" xfId="0">
      <alignment horizontal="center" vertical="center"/>
      <protection hidden="0" locked="0"/>
    </xf>
    <xf applyAlignment="1" applyProtection="1" borderId="9" fillId="5" fontId="7" numFmtId="166" pivotButton="0" quotePrefix="0" xfId="9">
      <alignment horizontal="center" vertical="center"/>
      <protection hidden="0" locked="0"/>
    </xf>
    <xf applyAlignment="1" borderId="9" fillId="5" fontId="6" numFmtId="166" pivotButton="0" quotePrefix="0" xfId="0">
      <alignment horizontal="center" vertical="center"/>
    </xf>
    <xf applyAlignment="1" applyProtection="1" borderId="9" fillId="2" fontId="10" numFmtId="166" pivotButton="0" quotePrefix="0" xfId="9">
      <alignment horizontal="center" vertical="center" wrapText="1"/>
      <protection hidden="0" locked="0"/>
    </xf>
    <xf applyAlignment="1" applyProtection="1" borderId="9" fillId="2" fontId="2" numFmtId="166" pivotButton="0" quotePrefix="0" xfId="0">
      <alignment horizontal="center" wrapText="1"/>
      <protection hidden="0" locked="0"/>
    </xf>
    <xf applyAlignment="1" applyProtection="1" borderId="8" fillId="2" fontId="10" numFmtId="166" pivotButton="0" quotePrefix="0" xfId="0">
      <alignment horizontal="center" vertical="center"/>
      <protection hidden="0" locked="0"/>
    </xf>
    <xf applyAlignment="1" applyProtection="1" borderId="9" fillId="5" fontId="7" numFmtId="169" pivotButton="0" quotePrefix="0" xfId="9">
      <alignment horizontal="center" vertical="center"/>
      <protection hidden="0" locked="0"/>
    </xf>
    <xf applyAlignment="1" applyProtection="1" borderId="9" fillId="5" fontId="7" numFmtId="169" pivotButton="0" quotePrefix="0" xfId="0">
      <alignment horizontal="center" vertical="center"/>
      <protection hidden="0" locked="0"/>
    </xf>
    <xf applyAlignment="1" applyProtection="1" borderId="9" fillId="5" fontId="7" numFmtId="170" pivotButton="0" quotePrefix="0" xfId="9">
      <alignment horizontal="center" vertical="center"/>
      <protection hidden="0" locked="0"/>
    </xf>
    <xf applyAlignment="1" borderId="9" fillId="5" fontId="7" numFmtId="169" pivotButton="0" quotePrefix="0" xfId="0">
      <alignment horizontal="center" vertical="center"/>
    </xf>
    <xf applyAlignment="1" applyProtection="1" borderId="9" fillId="2" fontId="10" numFmtId="169" pivotButton="0" quotePrefix="0" xfId="9">
      <alignment horizontal="center" vertical="center" wrapText="1"/>
      <protection hidden="0" locked="0"/>
    </xf>
    <xf applyAlignment="1" applyProtection="1" borderId="0" fillId="3" fontId="7" numFmtId="170" pivotButton="0" quotePrefix="0" xfId="9">
      <alignment horizontal="center" vertical="center"/>
      <protection hidden="0" locked="0"/>
    </xf>
    <xf applyAlignment="1" applyProtection="1" borderId="0" fillId="3" fontId="7" numFmtId="166" pivotButton="0" quotePrefix="0" xfId="0">
      <alignment horizontal="center" vertical="center"/>
      <protection hidden="0" locked="0"/>
    </xf>
    <xf applyAlignment="1" borderId="9" fillId="5" fontId="6" numFmtId="169" pivotButton="0" quotePrefix="0" xfId="0">
      <alignment horizontal="center" vertical="center"/>
    </xf>
    <xf applyProtection="1" borderId="0" fillId="3" fontId="6" numFmtId="166" pivotButton="0" quotePrefix="0" xfId="0">
      <protection hidden="0" locked="0"/>
    </xf>
    <xf applyAlignment="1" applyProtection="1" borderId="4" fillId="2" fontId="10" numFmtId="169" pivotButton="0" quotePrefix="0" xfId="0">
      <alignment horizontal="center" vertical="center" wrapText="1"/>
      <protection hidden="0" locked="0"/>
    </xf>
    <xf applyAlignment="1" applyProtection="1" borderId="4" fillId="2" fontId="10" numFmtId="166" pivotButton="0" quotePrefix="0" xfId="0">
      <alignment horizontal="center" vertical="center" wrapText="1"/>
      <protection hidden="0" locked="0"/>
    </xf>
    <xf applyAlignment="1" borderId="9" fillId="3" fontId="7" numFmtId="166" pivotButton="0" quotePrefix="0" xfId="0">
      <alignment horizontal="center" vertical="center"/>
    </xf>
    <xf applyAlignment="1" applyProtection="1" borderId="9" fillId="5" fontId="6" numFmtId="166" pivotButton="0" quotePrefix="0" xfId="0">
      <alignment horizontal="center" vertical="center"/>
      <protection hidden="0" locked="0"/>
    </xf>
    <xf applyAlignment="1" borderId="30" fillId="5" fontId="0" numFmtId="164" pivotButton="0" quotePrefix="0" xfId="0">
      <alignment horizontal="center" vertical="center"/>
    </xf>
    <xf applyAlignment="1" borderId="9" fillId="0" fontId="4" numFmtId="164" pivotButton="0" quotePrefix="0" xfId="0">
      <alignment horizontal="center" vertical="center"/>
    </xf>
    <xf applyAlignment="1" borderId="30" fillId="3" fontId="4" numFmtId="164" pivotButton="0" quotePrefix="0" xfId="0">
      <alignment horizontal="center" vertical="center"/>
    </xf>
    <xf applyAlignment="1" borderId="9" fillId="0" fontId="0" numFmtId="164" pivotButton="0" quotePrefix="0" xfId="0">
      <alignment horizontal="center"/>
    </xf>
    <xf applyAlignment="1" borderId="11" fillId="11" fontId="0" numFmtId="166" pivotButton="0" quotePrefix="0" xfId="0">
      <alignment vertical="center" wrapText="1"/>
    </xf>
    <xf applyAlignment="1" borderId="9" fillId="0" fontId="3" numFmtId="168" pivotButton="0" quotePrefix="0" xfId="0">
      <alignment horizontal="center" vertical="center"/>
    </xf>
    <xf applyAlignment="1" borderId="9" fillId="0" fontId="0" numFmtId="168" pivotButton="0" quotePrefix="0" xfId="0">
      <alignment horizontal="center" vertical="center"/>
    </xf>
    <xf applyAlignment="1" borderId="0" fillId="0" fontId="0" numFmtId="167" pivotButton="0" quotePrefix="0" xfId="0">
      <alignment horizontal="left" vertical="center"/>
    </xf>
    <xf borderId="0" fillId="0" fontId="0" numFmtId="168" pivotButton="0" quotePrefix="0" xfId="0"/>
    <xf applyAlignment="1" applyProtection="1" borderId="9" fillId="3" fontId="5" numFmtId="164" pivotButton="0" quotePrefix="0" xfId="0">
      <alignment horizontal="center" vertical="center"/>
      <protection hidden="0" locked="0"/>
    </xf>
    <xf applyAlignment="1" applyProtection="1" borderId="9" fillId="0" fontId="5" numFmtId="164" pivotButton="0" quotePrefix="0" xfId="0">
      <alignment horizontal="center" vertical="center"/>
      <protection hidden="0" locked="0"/>
    </xf>
    <xf applyAlignment="1" borderId="9" fillId="5" fontId="6" numFmtId="164" pivotButton="0" quotePrefix="0" xfId="0">
      <alignment horizontal="center" vertical="center"/>
    </xf>
    <xf applyAlignment="1" applyProtection="1" borderId="9" fillId="0" fontId="12" numFmtId="164" pivotButton="0" quotePrefix="0" xfId="0">
      <alignment horizontal="center" vertical="center"/>
      <protection hidden="0" locked="0"/>
    </xf>
    <xf applyAlignment="1" applyProtection="1" borderId="9" fillId="11" fontId="0" numFmtId="164" pivotButton="0" quotePrefix="0" xfId="0">
      <alignment horizontal="center" vertical="center"/>
      <protection hidden="0" locked="0"/>
    </xf>
    <xf applyAlignment="1" applyProtection="1" borderId="9" fillId="12" fontId="0" numFmtId="164" pivotButton="0" quotePrefix="0" xfId="0">
      <alignment horizontal="center" vertical="center"/>
      <protection hidden="0" locked="0"/>
    </xf>
    <xf applyAlignment="1" borderId="9" fillId="11" fontId="0" numFmtId="164" pivotButton="0" quotePrefix="0" xfId="0">
      <alignment horizontal="center" vertical="center"/>
    </xf>
    <xf borderId="0" fillId="0" fontId="0" numFmtId="164" pivotButton="0" quotePrefix="0" xfId="0"/>
    <xf applyAlignment="1" applyProtection="1" borderId="8" fillId="3" fontId="5" numFmtId="164" pivotButton="0" quotePrefix="0" xfId="0">
      <alignment horizontal="center" vertical="center"/>
      <protection hidden="0" locked="0"/>
    </xf>
    <xf applyAlignment="1" applyProtection="1" borderId="8" fillId="0" fontId="5" numFmtId="164" pivotButton="0" quotePrefix="0" xfId="0">
      <alignment horizontal="center" vertical="center"/>
      <protection hidden="0" locked="0"/>
    </xf>
    <xf applyAlignment="1" applyProtection="1" borderId="12" fillId="0" fontId="5" numFmtId="164" pivotButton="0" quotePrefix="0" xfId="0">
      <alignment horizontal="center" vertical="center"/>
      <protection hidden="0" locked="0"/>
    </xf>
    <xf applyAlignment="1" applyProtection="1" borderId="23" fillId="0" fontId="5" numFmtId="164" pivotButton="0" quotePrefix="0" xfId="0">
      <alignment horizontal="center" vertical="center"/>
      <protection hidden="0" locked="0"/>
    </xf>
    <xf applyAlignment="1" applyProtection="1" borderId="9" fillId="3" fontId="5" numFmtId="165" pivotButton="0" quotePrefix="0" xfId="0">
      <alignment horizontal="center" vertical="center"/>
      <protection hidden="0" locked="0"/>
    </xf>
    <xf applyAlignment="1" applyProtection="1" borderId="9" fillId="3" fontId="4" numFmtId="164" pivotButton="0" quotePrefix="0" xfId="0">
      <alignment horizontal="center" vertical="center"/>
      <protection hidden="0" locked="0"/>
    </xf>
    <xf applyAlignment="1" borderId="11" fillId="3" fontId="5" numFmtId="164" pivotButton="0" quotePrefix="0" xfId="0">
      <alignment horizontal="center" vertical="center" wrapText="1"/>
    </xf>
    <xf applyAlignment="1" borderId="9" fillId="3" fontId="5" numFmtId="164" pivotButton="0" quotePrefix="0" xfId="0">
      <alignment horizontal="center" vertical="center" wrapText="1"/>
    </xf>
    <xf applyAlignment="1" applyProtection="1" borderId="9" fillId="5" fontId="0" numFmtId="164" pivotButton="0" quotePrefix="0" xfId="0">
      <alignment vertical="center"/>
      <protection hidden="0" locked="0"/>
    </xf>
  </cellXfs>
  <cellStyles count="50">
    <cellStyle builtinId="0" name="常规" xfId="0"/>
    <cellStyle builtinId="52" name="60% - 强调文字颜色 6" xfId="1"/>
    <cellStyle builtinId="42" name="20% - 强调文字颜色 4" xfId="2"/>
    <cellStyle builtinId="41" name="强调文字颜色 4" xfId="3"/>
    <cellStyle builtinId="20" name="输入" xfId="4"/>
    <cellStyle builtinId="39" name="40% - 强调文字颜色 3" xfId="5"/>
    <cellStyle builtinId="38" name="20% - 强调文字颜色 3" xfId="6"/>
    <cellStyle builtinId="4" name="货币" xfId="7"/>
    <cellStyle builtinId="37" name="强调文字颜色 3" xfId="8"/>
    <cellStyle builtinId="5" name="百分比" xfId="9"/>
    <cellStyle builtinId="36" name="60% - 强调文字颜色 2" xfId="10"/>
    <cellStyle builtinId="48" name="60% - 强调文字颜色 5" xfId="11"/>
    <cellStyle builtinId="33" name="强调文字颜色 2" xfId="12"/>
    <cellStyle builtinId="32" name="60% - 强调文字颜色 1" xfId="13"/>
    <cellStyle builtinId="44" name="60% - 强调文字颜色 4" xfId="14"/>
    <cellStyle builtinId="22" name="计算" xfId="15"/>
    <cellStyle builtinId="29" name="强调文字颜色 1" xfId="16"/>
    <cellStyle builtinId="28" name="适中" xfId="17"/>
    <cellStyle builtinId="46" name="20% - 强调文字颜色 5" xfId="18"/>
    <cellStyle builtinId="26" name="好" xfId="19"/>
    <cellStyle builtinId="30" name="20% - 强调文字颜色 1" xfId="20"/>
    <cellStyle builtinId="25" name="汇总" xfId="21"/>
    <cellStyle builtinId="27" name="差" xfId="22"/>
    <cellStyle builtinId="23" name="检查单元格" xfId="23"/>
    <cellStyle builtinId="21" name="输出" xfId="24"/>
    <cellStyle builtinId="16" name="标题 1" xfId="25"/>
    <cellStyle builtinId="53" name="解释性文本" xfId="26"/>
    <cellStyle builtinId="34" name="20% - 强调文字颜色 2" xfId="27"/>
    <cellStyle builtinId="19" name="标题 4" xfId="28"/>
    <cellStyle builtinId="7" name="货币[0]" xfId="29"/>
    <cellStyle builtinId="43" name="40% - 强调文字颜色 4" xfId="30"/>
    <cellStyle builtinId="3" name="千位分隔" xfId="31"/>
    <cellStyle builtinId="9" name="已访问的超链接" xfId="32"/>
    <cellStyle builtinId="15" name="标题" xfId="33"/>
    <cellStyle builtinId="35" name="40% - 强调文字颜色 2" xfId="34"/>
    <cellStyle name="Good 2" xfId="35"/>
    <cellStyle builtinId="11" name="警告文本" xfId="36"/>
    <cellStyle builtinId="40" name="60% - 强调文字颜色 3" xfId="37"/>
    <cellStyle builtinId="10" name="注释" xfId="38"/>
    <cellStyle builtinId="50" name="20% - 强调文字颜色 6" xfId="39"/>
    <cellStyle builtinId="45" name="强调文字颜色 5" xfId="40"/>
    <cellStyle builtinId="51" name="40% - 强调文字颜色 6" xfId="41"/>
    <cellStyle builtinId="8" name="超链接" xfId="42"/>
    <cellStyle builtinId="6" name="千位分隔[0]" xfId="43"/>
    <cellStyle builtinId="17" name="标题 2" xfId="44"/>
    <cellStyle builtinId="47" name="40% - 强调文字颜色 5" xfId="45"/>
    <cellStyle builtinId="18" name="标题 3" xfId="46"/>
    <cellStyle builtinId="49" name="强调文字颜色 6" xfId="47"/>
    <cellStyle builtinId="31" name="40% - 强调文字颜色 1" xfId="48"/>
    <cellStyle builtinId="24" name="链接单元格" xfId="49"/>
  </cellStyles>
  <dxfs count="3">
    <dxf>
      <font>
        <color rgb="FFFF0000"/>
      </font>
    </dxf>
    <dxf>
      <fill>
        <patternFill patternType="solid">
          <bgColor theme="9" tint="-0.249946592608417"/>
        </patternFill>
      </fill>
    </dxf>
    <dxf>
      <fill>
        <patternFill patternType="solid">
          <bgColor rgb="FF92D050"/>
        </patternFill>
      </fill>
    </dxf>
  </dxfs>
  <tableStyles count="0" defaultPivotStyle="PivotStyleMedium9"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styles.xml" Type="http://schemas.openxmlformats.org/officeDocument/2006/relationships/styles"/><Relationship Id="rId20" Target="theme/theme1.xml" Type="http://schemas.openxmlformats.org/officeDocument/2006/relationships/theme"/></Relationships>
</file>

<file path=xl/charts/chart1.xml><?xml version="1.0" encoding="utf-8"?>
<chartSpace xmlns="http://schemas.openxmlformats.org/drawingml/2006/chart">
  <chart>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lang="en-US" sz="1200">
                <a:latin charset="0" panose="020B0604020202090204" pitchFamily="7" typeface="Arial"/>
                <a:cs charset="0" panose="020B0604020202090204" pitchFamily="7" typeface="Arial"/>
              </a:rPr>
              <a:t>Each phase Fundamental </a:t>
            </a:r>
            <a:r>
              <a:rPr baseline="0" lang="en-US" sz="1200">
                <a:latin charset="0" panose="020B0604020202090204" pitchFamily="7" typeface="Arial"/>
                <a:cs charset="0" panose="020B0604020202090204" pitchFamily="7" typeface="Arial"/>
              </a:rPr>
              <a:t>Current vs. Speed</a:t>
            </a:r>
            <a:endParaRPr baseline="0" lang="en-US" sz="1200">
              <a:latin charset="0" panose="020B0604020202090204" pitchFamily="7" typeface="Arial"/>
              <a:cs charset="0" panose="020B0604020202090204" pitchFamily="7" typeface="Arial"/>
            </a:endParaRPr>
          </a:p>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altLang="en-US" baseline="0" lang="zh-CN" sz="1200">
                <a:latin charset="0" panose="020B0604020202090204" pitchFamily="7" typeface="Arial"/>
                <a:cs charset="0" panose="020B0604020202090204" pitchFamily="7" typeface="Arial"/>
              </a:rPr>
              <a:t>各相基本电流与速度关系</a:t>
            </a:r>
            <a:endParaRPr altLang="zh-CN" baseline="0" lang="en-US" sz="1200">
              <a:latin charset="0" panose="020B0604020202090204" pitchFamily="7" typeface="Arial"/>
              <a:cs charset="0" panose="020B0604020202090204" pitchFamily="7" typeface="Arial"/>
            </a:endParaRPr>
          </a:p>
        </rich>
      </tx>
      <layout/>
      <overlay val="1"/>
    </title>
    <plotArea>
      <layout>
        <manualLayout>
          <layoutTarget val="inner"/>
          <xMode val="edge"/>
          <yMode val="edge"/>
          <wMode val="factor"/>
          <hMode val="factor"/>
          <x val="0.111289888809721"/>
          <y val="0.125503632836924"/>
          <w val="0.789373979628693"/>
          <h val="0.715853376824976"/>
        </manualLayout>
      </layout>
      <scatterChart>
        <scatterStyle val="line"/>
        <varyColors val="0"/>
        <ser>
          <idx val="0"/>
          <order val="0"/>
          <tx>
            <strRef>
              <f>'5. Short circuit'!$A$10</f>
              <strCache>
                <ptCount val="1"/>
                <pt idx="0">
                  <v>Phase U Current
U相电流</v>
                </pt>
              </strCache>
            </strRef>
          </tx>
          <spPr>
            <a:ln xmlns:a="http://schemas.openxmlformats.org/drawingml/2006/main" algn="ctr" cap="rnd" cmpd="sng" w="28575">
              <a:noFill/>
              <a:prstDash val="solid"/>
              <a:round/>
            </a:ln>
          </spPr>
          <marker>
            <symbol val="none"/>
            <spPr>
              <a:ln xmlns:a="http://schemas.openxmlformats.org/drawingml/2006/main">
                <a:prstDash val="solid"/>
              </a:ln>
            </spPr>
          </marker>
          <dLbls>
            <delete val="1"/>
          </dLbls>
          <xVal>
            <strRef>
              <f>'5. Short circuit'!$D$9:$O$9</f>
              <strCache>
                <ptCount val="12"/>
                <pt idx="0">
                  <v>100</v>
                </pt>
                <pt idx="1">
                  <v>200</v>
                </pt>
                <pt idx="2">
                  <v>300</v>
                </pt>
                <pt idx="3">
                  <v>400</v>
                </pt>
                <pt idx="4">
                  <v>500</v>
                </pt>
                <pt idx="5">
                  <v>750</v>
                </pt>
                <pt idx="6">
                  <v>1000</v>
                </pt>
                <pt idx="7">
                  <v>2000</v>
                </pt>
                <pt idx="8">
                  <v>3000</v>
                </pt>
                <pt idx="9">
                  <v>4000</v>
                </pt>
                <pt idx="10">
                  <v>Test Propose
1. the purpose of this test is to check inductance of each phase and inductance difference between phases.
测试目的是检查每相电感和不同相间的电感。</v>
                </pt>
              </strCache>
            </strRef>
          </xVal>
          <yVal>
            <numRef>
              <f>'5. Short circuit'!$D$11:$O$11</f>
              <numCache>
                <formatCode>0.00</formatCode>
                <ptCount val="12"/>
              </numCache>
            </numRef>
          </yVal>
          <smooth val="0"/>
        </ser>
        <ser>
          <idx val="1"/>
          <order val="1"/>
          <tx>
            <strRef>
              <f>'5. Short circuit'!$A$12</f>
              <strCache>
                <ptCount val="1"/>
                <pt idx="0">
                  <v>Phase V Current
V相电流</v>
                </pt>
              </strCache>
            </strRef>
          </tx>
          <spPr>
            <a:ln xmlns:a="http://schemas.openxmlformats.org/drawingml/2006/main" algn="ctr" cap="rnd" cmpd="sng" w="28575">
              <a:noFill/>
              <a:prstDash val="solid"/>
              <a:round/>
            </a:ln>
          </spPr>
          <marker>
            <symbol val="none"/>
            <spPr>
              <a:ln xmlns:a="http://schemas.openxmlformats.org/drawingml/2006/main">
                <a:prstDash val="solid"/>
              </a:ln>
            </spPr>
          </marker>
          <dLbls>
            <delete val="1"/>
          </dLbls>
          <xVal>
            <strRef>
              <f>'5. Short circuit'!$D$9:$O$9</f>
              <strCache>
                <ptCount val="12"/>
                <pt idx="0">
                  <v>100</v>
                </pt>
                <pt idx="1">
                  <v>200</v>
                </pt>
                <pt idx="2">
                  <v>300</v>
                </pt>
                <pt idx="3">
                  <v>400</v>
                </pt>
                <pt idx="4">
                  <v>500</v>
                </pt>
                <pt idx="5">
                  <v>750</v>
                </pt>
                <pt idx="6">
                  <v>1000</v>
                </pt>
                <pt idx="7">
                  <v>2000</v>
                </pt>
                <pt idx="8">
                  <v>3000</v>
                </pt>
                <pt idx="9">
                  <v>4000</v>
                </pt>
                <pt idx="10">
                  <v>Test Propose
1. the purpose of this test is to check inductance of each phase and inductance difference between phases.
测试目的是检查每相电感和不同相间的电感。</v>
                </pt>
              </strCache>
            </strRef>
          </xVal>
          <yVal>
            <numRef>
              <f>'5. Short circuit'!$D$13:$O$13</f>
              <numCache>
                <formatCode>0.00</formatCode>
                <ptCount val="12"/>
              </numCache>
            </numRef>
          </yVal>
          <smooth val="0"/>
        </ser>
        <ser>
          <idx val="2"/>
          <order val="2"/>
          <tx>
            <strRef>
              <f>'5. Short circuit'!$A$14</f>
              <strCache>
                <ptCount val="1"/>
                <pt idx="0">
                  <v>Phase W Current
W相电流</v>
                </pt>
              </strCache>
            </strRef>
          </tx>
          <spPr>
            <a:ln xmlns:a="http://schemas.openxmlformats.org/drawingml/2006/main" algn="ctr" cap="rnd" cmpd="sng" w="28575">
              <a:noFill/>
              <a:prstDash val="solid"/>
              <a:round/>
            </a:ln>
          </spPr>
          <marker>
            <symbol val="none"/>
            <spPr>
              <a:ln xmlns:a="http://schemas.openxmlformats.org/drawingml/2006/main">
                <a:prstDash val="solid"/>
              </a:ln>
            </spPr>
          </marker>
          <dLbls>
            <delete val="1"/>
          </dLbls>
          <xVal>
            <strRef>
              <f>'5. Short circuit'!$D$9:$O$9</f>
              <strCache>
                <ptCount val="12"/>
                <pt idx="0">
                  <v>100</v>
                </pt>
                <pt idx="1">
                  <v>200</v>
                </pt>
                <pt idx="2">
                  <v>300</v>
                </pt>
                <pt idx="3">
                  <v>400</v>
                </pt>
                <pt idx="4">
                  <v>500</v>
                </pt>
                <pt idx="5">
                  <v>750</v>
                </pt>
                <pt idx="6">
                  <v>1000</v>
                </pt>
                <pt idx="7">
                  <v>2000</v>
                </pt>
                <pt idx="8">
                  <v>3000</v>
                </pt>
                <pt idx="9">
                  <v>4000</v>
                </pt>
                <pt idx="10">
                  <v>Test Propose
1. the purpose of this test is to check inductance of each phase and inductance difference between phases.
测试目的是检查每相电感和不同相间的电感。</v>
                </pt>
              </strCache>
            </strRef>
          </xVal>
          <yVal>
            <numRef>
              <f>'5. Short circuit'!$D$15:$O$15</f>
              <numCache>
                <formatCode>0.00</formatCode>
                <ptCount val="12"/>
              </numCache>
            </numRef>
          </yVal>
          <smooth val="0"/>
        </ser>
        <dLbls>
          <showLegendKey val="0"/>
          <showVal val="0"/>
          <showCatName val="0"/>
          <showSerName val="0"/>
          <showPercent val="0"/>
          <showBubbleSize val="0"/>
        </dLbls>
        <axId val="94470144"/>
        <axId val="94472064"/>
      </scatterChart>
      <valAx>
        <axId val="94470144"/>
        <scaling>
          <orientation val="minMax"/>
        </scaling>
        <delete val="0"/>
        <axPos val="b"/>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Speed [rpm]</a:t>
                </a:r>
                <a:endParaRPr lang="en-US"/>
              </a:p>
              <a:p xmlns:a="http://schemas.openxmlformats.org/drawingml/2006/main">
                <a:pPr>
                  <a:defRPr b="1" baseline="0" i="0" kern="1200" lang="zh-CN" strike="noStrike" sz="1000">
                    <a:solidFill>
                      <a:schemeClr val="tx1"/>
                    </a:solidFill>
                    <a:latin typeface="+mn-lt"/>
                    <a:ea typeface="+mn-ea"/>
                    <a:cs typeface="+mn-cs"/>
                  </a:defRPr>
                </a:pPr>
                <a:r>
                  <a:rPr altLang="en-US" lang="zh-CN"/>
                  <a:t>速度</a:t>
                </a:r>
                <a:endParaRPr lang="en-US"/>
              </a:p>
            </rich>
          </tx>
          <layout/>
          <overlay val="0"/>
        </title>
        <numFmt formatCode="General"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94472064"/>
        <crosses val="autoZero"/>
        <crossBetween val="midCat"/>
      </valAx>
      <valAx>
        <axId val="94472064"/>
        <scaling>
          <orientation val="minMax"/>
        </scaling>
        <delete val="0"/>
        <axPos val="l"/>
        <majorGridlines/>
        <title>
          <tx>
            <rich>
              <a:bodyPr xmlns:a="http://schemas.openxmlformats.org/drawingml/2006/main" anchor="ctr" anchorCtr="1" rot="-540000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b="1" lang="en-US"/>
                  <a:t>Phase Current [Arms]</a:t>
                </a:r>
                <a:endParaRPr b="1" lang="en-US"/>
              </a:p>
              <a:p xmlns:a="http://schemas.openxmlformats.org/drawingml/2006/main">
                <a:pPr>
                  <a:defRPr b="1" baseline="0" i="0" kern="1200" lang="zh-CN" strike="noStrike" sz="1000">
                    <a:solidFill>
                      <a:schemeClr val="tx1"/>
                    </a:solidFill>
                    <a:latin typeface="+mn-lt"/>
                    <a:ea typeface="+mn-ea"/>
                    <a:cs typeface="+mn-cs"/>
                  </a:defRPr>
                </a:pPr>
                <a:r>
                  <a:rPr altLang="en-US" b="1" lang="zh-CN"/>
                  <a:t>相电流</a:t>
                </a:r>
                <a:endParaRPr b="1" lang="en-US"/>
              </a:p>
            </rich>
          </tx>
          <layout/>
          <overlay val="0"/>
        </title>
        <numFmt formatCode="0.0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94470144"/>
        <crosses val="autoZero"/>
        <crossBetween val="midCat"/>
      </valAx>
    </plotArea>
    <legend>
      <legendPos val="r"/>
      <layout>
        <manualLayout>
          <xMode val="edge"/>
          <yMode val="edge"/>
          <wMode val="factor"/>
          <hMode val="factor"/>
          <x val="0.894618935913981"/>
          <y val="0.320908569436287"/>
          <w val="0.104239315013713"/>
          <h val="0.174766688680062"/>
        </manualLayout>
      </layout>
      <overlay val="0"/>
      <spPr>
        <a:ln xmlns:a="http://schemas.openxmlformats.org/drawingml/2006/main">
          <a:solidFill>
            <a:schemeClr val="tx1"/>
          </a:solidFill>
          <a:prstDash val="solid"/>
        </a:ln>
      </spPr>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lang="en-US" sz="1200">
                <a:latin charset="0" panose="020B0604020202090204" pitchFamily="7" typeface="Arial"/>
                <a:cs charset="0" panose="020B0604020202090204" pitchFamily="7" typeface="Arial"/>
              </a:rPr>
              <a:t>Motor</a:t>
            </a:r>
            <a:r>
              <a:rPr baseline="0" lang="en-US" sz="1200">
                <a:latin charset="0" panose="020B0604020202090204" pitchFamily="7" typeface="Arial"/>
                <a:cs charset="0" panose="020B0604020202090204" pitchFamily="7" typeface="Arial"/>
              </a:rPr>
              <a:t> Torque vs. Speed</a:t>
            </a:r>
            <a:endParaRPr baseline="0" lang="en-US" sz="1200">
              <a:latin charset="0" panose="020B0604020202090204" pitchFamily="7" typeface="Arial"/>
              <a:cs charset="0" panose="020B0604020202090204" pitchFamily="7" typeface="Arial"/>
            </a:endParaRPr>
          </a:p>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altLang="en-US" baseline="0" lang="zh-CN" sz="1200">
                <a:latin charset="0" panose="020B0604020202090204" pitchFamily="7" typeface="Arial"/>
                <a:cs charset="0" panose="020B0604020202090204" pitchFamily="7" typeface="Arial"/>
              </a:rPr>
              <a:t>电机扭矩和速度关系</a:t>
            </a:r>
            <a:endParaRPr altLang="zh-CN" baseline="0" lang="en-US" sz="1200">
              <a:latin charset="0" panose="020B0604020202090204" pitchFamily="7" typeface="Arial"/>
              <a:cs charset="0" panose="020B0604020202090204" pitchFamily="7" typeface="Arial"/>
            </a:endParaRPr>
          </a:p>
        </rich>
      </tx>
      <layout/>
      <overlay val="1"/>
    </title>
    <plotArea>
      <layout>
        <manualLayout>
          <layoutTarget val="inner"/>
          <xMode val="edge"/>
          <yMode val="edge"/>
          <wMode val="factor"/>
          <hMode val="factor"/>
          <x val="0.10989572324724"/>
          <y val="0.125279220262213"/>
          <w val="0.789373979628693"/>
          <h val="0.715853376824976"/>
        </manualLayout>
      </layout>
      <scatterChart>
        <scatterStyle val="lineMarker"/>
        <varyColors val="0"/>
        <ser>
          <idx val="0"/>
          <order val="0"/>
          <tx>
            <strRef>
              <f>'5. Short circuit'!$A$20</f>
              <strCache>
                <ptCount val="1"/>
                <pt idx="0">
                  <v>Torque
扭矩</v>
                </pt>
              </strCache>
            </strRef>
          </tx>
          <spPr>
            <a:ln xmlns:a="http://schemas.openxmlformats.org/drawingml/2006/main" algn="ctr" cap="rnd" cmpd="sng" w="28575">
              <a:solidFill>
                <a:schemeClr val="accent1">
                  <a:shade val="95000"/>
                  <a:satMod val="105000"/>
                </a:schemeClr>
              </a:solidFill>
              <a:prstDash val="solid"/>
              <a:round/>
            </a:ln>
          </spPr>
          <marker>
            <symbol val="circle"/>
            <size val="2"/>
            <spPr>
              <a:ln xmlns:a="http://schemas.openxmlformats.org/drawingml/2006/main" algn="ctr" cap="flat" cmpd="sng" w="9525">
                <a:solidFill>
                  <a:schemeClr val="accent1">
                    <a:shade val="95000"/>
                    <a:satMod val="105000"/>
                  </a:schemeClr>
                </a:solidFill>
                <a:prstDash val="solid"/>
                <a:round/>
              </a:ln>
            </spPr>
          </marker>
          <dLbls>
            <delete val="1"/>
          </dLbls>
          <xVal>
            <numRef>
              <f>'5. Short circuit'!$D$9:$M$9</f>
              <numCache>
                <formatCode>General</formatCode>
                <ptCount val="10"/>
                <pt idx="0">
                  <v>100</v>
                </pt>
                <pt idx="1">
                  <v>200</v>
                </pt>
                <pt idx="2">
                  <v>300</v>
                </pt>
                <pt idx="3">
                  <v>400</v>
                </pt>
                <pt idx="4">
                  <v>500</v>
                </pt>
                <pt idx="5">
                  <v>750</v>
                </pt>
                <pt idx="6">
                  <v>1000</v>
                </pt>
                <pt idx="7">
                  <v>2000</v>
                </pt>
                <pt idx="8">
                  <v>3000</v>
                </pt>
                <pt idx="9">
                  <v>4000</v>
                </pt>
              </numCache>
            </numRef>
          </xVal>
          <yVal>
            <numRef>
              <f>'5. Short circuit'!$D$20:$M$20</f>
              <numCache>
                <formatCode>0.00</formatCode>
                <ptCount val="10"/>
              </numCache>
            </numRef>
          </yVal>
          <smooth val="0"/>
        </ser>
        <dLbls>
          <showLegendKey val="0"/>
          <showVal val="0"/>
          <showCatName val="0"/>
          <showSerName val="0"/>
          <showPercent val="0"/>
          <showBubbleSize val="0"/>
        </dLbls>
        <axId val="94480640"/>
        <axId val="91947392"/>
      </scatterChart>
      <valAx>
        <axId val="94480640"/>
        <scaling>
          <orientation val="minMax"/>
        </scaling>
        <delete val="0"/>
        <axPos val="b"/>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Speed [rpm]</a:t>
                </a:r>
                <a:endParaRPr lang="en-US"/>
              </a:p>
              <a:p xmlns:a="http://schemas.openxmlformats.org/drawingml/2006/main">
                <a:pPr>
                  <a:defRPr b="1" baseline="0" i="0" kern="1200" lang="zh-CN" strike="noStrike" sz="1000">
                    <a:solidFill>
                      <a:schemeClr val="tx1"/>
                    </a:solidFill>
                    <a:latin typeface="+mn-lt"/>
                    <a:ea typeface="+mn-ea"/>
                    <a:cs typeface="+mn-cs"/>
                  </a:defRPr>
                </a:pPr>
                <a:r>
                  <a:rPr altLang="en-US" lang="zh-CN"/>
                  <a:t>速度</a:t>
                </a:r>
                <a:endParaRPr altLang="zh-CN" lang="en-US"/>
              </a:p>
            </rich>
          </tx>
          <layout/>
          <overlay val="0"/>
        </title>
        <numFmt formatCode="General"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91947392"/>
        <crosses val="autoZero"/>
        <crossBetween val="midCat"/>
      </valAx>
      <valAx>
        <axId val="91947392"/>
        <scaling>
          <orientation val="minMax"/>
        </scaling>
        <delete val="0"/>
        <axPos val="l"/>
        <majorGridlines/>
        <title>
          <tx>
            <rich>
              <a:bodyPr xmlns:a="http://schemas.openxmlformats.org/drawingml/2006/main" anchor="ctr" anchorCtr="1" rot="-540000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b="1" lang="en-US">
                    <a:latin charset="0" panose="020B0604020202090204" pitchFamily="7" typeface="Arial"/>
                    <a:cs charset="0" panose="020B0604020202090204" pitchFamily="7" typeface="Arial"/>
                  </a:rPr>
                  <a:t>Torque [Nm]</a:t>
                </a:r>
                <a:endParaRPr b="1" lang="en-US">
                  <a:latin charset="0" panose="020B0604020202090204" pitchFamily="7" typeface="Arial"/>
                  <a:cs charset="0" panose="020B0604020202090204" pitchFamily="7" typeface="Arial"/>
                </a:endParaRPr>
              </a:p>
              <a:p xmlns:a="http://schemas.openxmlformats.org/drawingml/2006/main">
                <a:pPr>
                  <a:defRPr b="1" baseline="0" i="0" kern="1200" lang="zh-CN" strike="noStrike" sz="1000">
                    <a:solidFill>
                      <a:schemeClr val="tx1"/>
                    </a:solidFill>
                    <a:latin typeface="+mn-lt"/>
                    <a:ea typeface="+mn-ea"/>
                    <a:cs typeface="+mn-cs"/>
                  </a:defRPr>
                </a:pPr>
                <a:r>
                  <a:rPr altLang="en-US" b="1" lang="zh-CN">
                    <a:latin charset="0" panose="020B0604020202090204" pitchFamily="7" typeface="Arial"/>
                    <a:cs charset="0" panose="020B0604020202090204" pitchFamily="7" typeface="Arial"/>
                  </a:rPr>
                  <a:t>扭矩</a:t>
                </a:r>
                <a:endParaRPr b="1" lang="en-US">
                  <a:latin charset="0" panose="020B0604020202090204" pitchFamily="7" typeface="Arial"/>
                  <a:cs charset="0" panose="020B0604020202090204" pitchFamily="7" typeface="Arial"/>
                </a:endParaRPr>
              </a:p>
            </rich>
          </tx>
          <layout>
            <manualLayout>
              <xMode val="edge"/>
              <yMode val="edge"/>
              <wMode val="factor"/>
              <hMode val="factor"/>
              <x val="0.0116942609444512"/>
              <y val="0.410255363821833"/>
            </manualLayout>
          </layout>
          <overlay val="0"/>
        </title>
        <numFmt formatCode="0.0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94480640"/>
        <crosses val="autoZero"/>
        <crossBetween val="midCat"/>
      </valAx>
    </plotArea>
    <legend>
      <legendPos val="r"/>
      <layout/>
      <overlay val="0"/>
      <spPr>
        <a:ln xmlns:a="http://schemas.openxmlformats.org/drawingml/2006/main">
          <a:solidFill>
            <a:schemeClr val="tx1"/>
          </a:solidFill>
          <a:prstDash val="solid"/>
        </a:ln>
      </spPr>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3.xml><?xml version="1.0" encoding="utf-8"?>
<chartSpace xmlns="http://schemas.openxmlformats.org/drawingml/2006/chart">
  <chart>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b="1" lang="en-US" sz="1200">
                <a:latin charset="0" panose="020B0604020202090204" pitchFamily="7" typeface="Arial"/>
                <a:cs charset="0" panose="020B0604020202090204" pitchFamily="7" typeface="Arial"/>
              </a:rPr>
              <a:t>Fundamental Current Dev</a:t>
            </a:r>
            <a:r>
              <a:rPr altLang="zh-CN" b="1" lang="en-US" sz="1200">
                <a:latin charset="0" panose="020B0604020202090204" pitchFamily="7" typeface="Arial"/>
                <a:cs charset="0" panose="020B0604020202090204" pitchFamily="7" typeface="Arial"/>
              </a:rPr>
              <a:t>i</a:t>
            </a:r>
            <a:r>
              <a:rPr b="1" lang="en-US" sz="1200">
                <a:latin charset="0" panose="020B0604020202090204" pitchFamily="7" typeface="Arial"/>
                <a:cs charset="0" panose="020B0604020202090204" pitchFamily="7" typeface="Arial"/>
              </a:rPr>
              <a:t>ation </a:t>
            </a:r>
            <a:r>
              <a:rPr b="1" baseline="0" lang="en-US" sz="1200">
                <a:latin charset="0" panose="020B0604020202090204" pitchFamily="7" typeface="Arial"/>
                <a:cs charset="0" panose="020B0604020202090204" pitchFamily="7" typeface="Arial"/>
              </a:rPr>
              <a:t>vs. Speed</a:t>
            </a:r>
            <a:endParaRPr b="1" baseline="0" lang="en-US" sz="1200">
              <a:latin charset="0" panose="020B0604020202090204" pitchFamily="7" typeface="Arial"/>
              <a:cs charset="0" panose="020B0604020202090204" pitchFamily="7" typeface="Arial"/>
            </a:endParaRPr>
          </a:p>
          <a:p xmlns:a="http://schemas.openxmlformats.org/drawingml/2006/main">
            <a:pPr>
              <a:defRPr b="1" baseline="0" i="0" kern="1200" lang="zh-CN" strike="noStrike" sz="1200">
                <a:solidFill>
                  <a:schemeClr val="tx1"/>
                </a:solidFill>
                <a:latin charset="0" panose="020B0604020202090204" pitchFamily="7" typeface="Arial"/>
                <a:ea typeface="+mn-ea"/>
                <a:cs charset="0" panose="020B0604020202090204" pitchFamily="7" typeface="Arial"/>
              </a:defRPr>
            </a:pPr>
            <a:r>
              <a:rPr altLang="en-US" b="1" baseline="0" i="0" lang="zh-CN" strike="noStrike" sz="1200">
                <a:latin charset="0" panose="020B0604020202090204" pitchFamily="7" typeface="Arial"/>
                <a:cs charset="0" panose="020B0604020202090204" pitchFamily="7" typeface="Arial"/>
              </a:rPr>
              <a:t>基本电流偏差和速度关系</a:t>
            </a:r>
            <a:endParaRPr altLang="zh-CN" b="1" baseline="0" i="0" lang="en-US" strike="noStrike" sz="1200">
              <a:latin charset="0" panose="020B0604020202090204" pitchFamily="7" typeface="Arial"/>
              <a:cs charset="0" panose="020B0604020202090204" pitchFamily="7" typeface="Arial"/>
            </a:endParaRPr>
          </a:p>
        </rich>
      </tx>
      <layout/>
      <overlay val="1"/>
    </title>
    <plotArea>
      <layout>
        <manualLayout>
          <layoutTarget val="inner"/>
          <xMode val="edge"/>
          <yMode val="edge"/>
          <wMode val="factor"/>
          <hMode val="factor"/>
          <x val="0.115059764595612"/>
          <y val="0.125910014103241"/>
          <w val="0.789373979628693"/>
          <h val="0.715853376824976"/>
        </manualLayout>
      </layout>
      <scatterChart>
        <scatterStyle val="marker"/>
        <varyColors val="0"/>
        <ser>
          <idx val="0"/>
          <order val="0"/>
          <tx>
            <strRef>
              <f>'5. Short circuit'!$A$18</f>
              <strCache>
                <ptCount val="1"/>
                <pt idx="0">
                  <v>Deviation
偏差</v>
                </pt>
              </strCache>
            </strRef>
          </tx>
          <spPr>
            <a:ln xmlns:a="http://schemas.openxmlformats.org/drawingml/2006/main" algn="ctr" cap="rnd" cmpd="sng" w="28575">
              <a:noFill/>
              <a:prstDash val="solid"/>
              <a:round/>
            </a:ln>
          </spPr>
          <marker>
            <symbol val="circle"/>
            <size val="2"/>
            <spPr>
              <a:ln xmlns:a="http://schemas.openxmlformats.org/drawingml/2006/main" algn="ctr" cap="flat" cmpd="sng" w="9525">
                <a:solidFill>
                  <a:schemeClr val="accent1">
                    <a:shade val="95000"/>
                    <a:satMod val="105000"/>
                  </a:schemeClr>
                </a:solidFill>
                <a:prstDash val="solid"/>
                <a:round/>
              </a:ln>
            </spPr>
          </marker>
          <dLbls>
            <delete val="1"/>
          </dLbls>
          <xVal>
            <numRef>
              <f>'5. Short circuit'!$D$9:$M$9</f>
              <numCache>
                <formatCode>General</formatCode>
                <ptCount val="10"/>
                <pt idx="0">
                  <v>100</v>
                </pt>
                <pt idx="1">
                  <v>200</v>
                </pt>
                <pt idx="2">
                  <v>300</v>
                </pt>
                <pt idx="3">
                  <v>400</v>
                </pt>
                <pt idx="4">
                  <v>500</v>
                </pt>
                <pt idx="5">
                  <v>750</v>
                </pt>
                <pt idx="6">
                  <v>1000</v>
                </pt>
                <pt idx="7">
                  <v>2000</v>
                </pt>
                <pt idx="8">
                  <v>3000</v>
                </pt>
                <pt idx="9">
                  <v>4000</v>
                </pt>
              </numCache>
            </numRef>
          </xVal>
          <yVal>
            <numRef>
              <f>'5. Short circuit'!$D$19:$M$19</f>
              <numCache>
                <formatCode>0.00%</formatCode>
                <ptCount val="10"/>
                <pt idx="0">
                  <v>0</v>
                </pt>
                <pt idx="1">
                  <v>0</v>
                </pt>
                <pt idx="2">
                  <v>0</v>
                </pt>
                <pt idx="3">
                  <v>0</v>
                </pt>
                <pt idx="4">
                  <v>0</v>
                </pt>
                <pt idx="5">
                  <v>0</v>
                </pt>
                <pt idx="6">
                  <v>0</v>
                </pt>
                <pt idx="7">
                  <v>0</v>
                </pt>
                <pt idx="8">
                  <v>0</v>
                </pt>
                <pt idx="9">
                  <v>0</v>
                </pt>
              </numCache>
            </numRef>
          </yVal>
          <smooth val="0"/>
        </ser>
        <dLbls>
          <showLegendKey val="0"/>
          <showVal val="0"/>
          <showCatName val="0"/>
          <showSerName val="0"/>
          <showPercent val="0"/>
          <showBubbleSize val="0"/>
        </dLbls>
        <axId val="103088896"/>
        <axId val="103090816"/>
      </scatterChart>
      <valAx>
        <axId val="103088896"/>
        <scaling>
          <orientation val="minMax"/>
        </scaling>
        <delete val="0"/>
        <axPos val="b"/>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Speed [rpm]</a:t>
                </a:r>
                <a:endParaRPr lang="en-US"/>
              </a:p>
              <a:p xmlns:a="http://schemas.openxmlformats.org/drawingml/2006/main">
                <a:pPr>
                  <a:defRPr b="1" baseline="0" i="0" kern="1200" lang="zh-CN" strike="noStrike" sz="1000">
                    <a:solidFill>
                      <a:schemeClr val="tx1"/>
                    </a:solidFill>
                    <a:latin typeface="+mn-lt"/>
                    <a:ea typeface="+mn-ea"/>
                    <a:cs typeface="+mn-cs"/>
                  </a:defRPr>
                </a:pPr>
                <a:r>
                  <a:rPr altLang="en-US" lang="zh-CN"/>
                  <a:t>速度</a:t>
                </a:r>
                <a:endParaRPr altLang="zh-CN" lang="en-US"/>
              </a:p>
            </rich>
          </tx>
          <layout/>
          <overlay val="0"/>
        </title>
        <numFmt formatCode="General"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090816"/>
        <crosses val="autoZero"/>
        <crossBetween val="midCat"/>
      </valAx>
      <valAx>
        <axId val="103090816"/>
        <scaling>
          <orientation val="minMax"/>
        </scaling>
        <delete val="0"/>
        <axPos val="l"/>
        <majorGridlines/>
        <title>
          <tx>
            <rich>
              <a:bodyPr xmlns:a="http://schemas.openxmlformats.org/drawingml/2006/main" anchor="ctr" anchorCtr="1" rot="-540000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Deviation [%]</a:t>
                </a:r>
                <a:endParaRPr lang="en-US"/>
              </a:p>
              <a:p xmlns:a="http://schemas.openxmlformats.org/drawingml/2006/main">
                <a:pPr>
                  <a:defRPr b="1" baseline="0" i="0" kern="1200" lang="zh-CN" strike="noStrike" sz="1000">
                    <a:solidFill>
                      <a:schemeClr val="tx1"/>
                    </a:solidFill>
                    <a:latin typeface="+mn-lt"/>
                    <a:ea typeface="+mn-ea"/>
                    <a:cs typeface="+mn-cs"/>
                  </a:defRPr>
                </a:pPr>
                <a:r>
                  <a:rPr altLang="en-US" lang="zh-CN"/>
                  <a:t>偏差</a:t>
                </a:r>
                <a:endParaRPr lang="en-US"/>
              </a:p>
            </rich>
          </tx>
          <layout/>
          <overlay val="0"/>
        </title>
        <numFmt formatCode="0.0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088896"/>
        <crosses val="autoZero"/>
        <crossBetween val="midCat"/>
      </valAx>
    </plotArea>
    <legend>
      <legendPos val="r"/>
      <layout/>
      <overlay val="0"/>
      <spPr>
        <a:ln xmlns:a="http://schemas.openxmlformats.org/drawingml/2006/main">
          <a:solidFill>
            <a:schemeClr val="tx1"/>
          </a:solidFill>
          <a:prstDash val="solid"/>
        </a:ln>
      </spPr>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4.xml><?xml version="1.0" encoding="utf-8"?>
<chartSpace xmlns="http://schemas.openxmlformats.org/drawingml/2006/chart">
  <chart>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200">
                <a:solidFill>
                  <a:schemeClr val="tx1"/>
                </a:solidFill>
                <a:latin typeface="+mn-lt"/>
                <a:ea typeface="+mn-ea"/>
                <a:cs typeface="+mn-cs"/>
              </a:defRPr>
            </a:pPr>
            <a:r>
              <a:rPr lang="en-US" sz="1200"/>
              <a:t>MCU Torque &amp; Motor Output</a:t>
            </a:r>
            <a:r>
              <a:rPr baseline="0" lang="en-US" sz="1200"/>
              <a:t> Torque vs. Phase Current</a:t>
            </a:r>
            <a:endParaRPr lang="en-US" sz="1200"/>
          </a:p>
        </rich>
      </tx>
      <layout/>
      <overlay val="1"/>
    </title>
    <plotArea>
      <layout>
        <manualLayout>
          <layoutTarget val="inner"/>
          <xMode val="edge"/>
          <yMode val="edge"/>
          <wMode val="factor"/>
          <hMode val="factor"/>
          <x val="0.0852663664267541"/>
          <y val="0.116440590230211"/>
          <w val="0.7102952221387721"/>
          <h val="0.710856368412594"/>
        </manualLayout>
      </layout>
      <scatterChart>
        <scatterStyle val="marker"/>
        <varyColors val="0"/>
        <ser>
          <idx val="0"/>
          <order val="0"/>
          <tx>
            <strRef>
              <f>'7. Torque vs. Phase Current'!$A$16</f>
              <strCache>
                <ptCount val="1"/>
                <pt idx="0">
                  <v>Torque measurement 
扭矩测量值</v>
                </pt>
              </strCache>
            </strRef>
          </tx>
          <spPr>
            <a:ln xmlns:a="http://schemas.openxmlformats.org/drawingml/2006/main" algn="ctr" cap="rnd" cmpd="sng" w="28575">
              <a:noFill/>
              <a:prstDash val="solid"/>
              <a:round/>
            </a:ln>
          </spPr>
          <marker>
            <symbol val="circle"/>
            <size val="7"/>
            <spPr>
              <a:solidFill xmlns:a="http://schemas.openxmlformats.org/drawingml/2006/main">
                <a:srgbClr val="00B0F0"/>
              </a:solidFill>
              <a:ln xmlns:a="http://schemas.openxmlformats.org/drawingml/2006/main" algn="ctr" cap="flat" cmpd="sng" w="9525">
                <a:solidFill>
                  <a:schemeClr val="accent1">
                    <a:shade val="95000"/>
                    <a:satMod val="105000"/>
                  </a:schemeClr>
                </a:solidFill>
                <a:prstDash val="solid"/>
                <a:round/>
              </a:ln>
            </spPr>
          </marker>
          <dLbls>
            <delete val="1"/>
          </dLbls>
          <trendline>
            <trendlineType val="poly"/>
            <order val="2"/>
            <dispRSqr val="0"/>
            <dispEq val="1"/>
            <trendlineLbl>
              <layout>
                <manualLayout>
                  <wMode val="factor"/>
                  <hMode val="factor"/>
                  <x val="0.169028764464739"/>
                  <y val="0.124166809985374"/>
                </manualLayout>
              </layout>
              <numFmt formatCode="#,##0.000000" sourceLinked="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trendlineLbl>
          </trendline>
          <xVal>
            <numRef>
              <f>'7. Torque vs. Phase Current'!$E$11:$K$11</f>
              <numCache>
                <formatCode>0.00</formatCode>
                <ptCount val="7"/>
              </numCache>
            </numRef>
          </xVal>
          <yVal>
            <numRef>
              <f>'7. Torque vs. Phase Current'!$E$16:$K$16</f>
              <numCache>
                <formatCode>0.0</formatCode>
                <ptCount val="7"/>
              </numCache>
            </numRef>
          </yVal>
          <smooth val="0"/>
        </ser>
        <ser>
          <idx val="1"/>
          <order val="1"/>
          <tx>
            <strRef>
              <f>'7. Torque vs. Phase Current'!$A$15</f>
              <strCache>
                <ptCount val="1"/>
                <pt idx="0">
                  <v>Torque Command [Nm]
扭矩命令值</v>
                </pt>
              </strCache>
            </strRef>
          </tx>
          <spPr>
            <a:ln xmlns:a="http://schemas.openxmlformats.org/drawingml/2006/main" algn="ctr" cap="rnd" cmpd="sng" w="28575">
              <a:noFill/>
              <a:prstDash val="solid"/>
              <a:round/>
            </a:ln>
          </spPr>
          <marker>
            <symbol val="circle"/>
            <size val="7"/>
            <spPr>
              <a:solidFill xmlns:a="http://schemas.openxmlformats.org/drawingml/2006/main">
                <a:srgbClr val="FFC000"/>
              </a:solidFill>
              <a:ln xmlns:a="http://schemas.openxmlformats.org/drawingml/2006/main" algn="ctr" cap="flat" cmpd="sng" w="9525">
                <a:solidFill>
                  <a:schemeClr val="accent2">
                    <a:shade val="95000"/>
                    <a:satMod val="105000"/>
                  </a:schemeClr>
                </a:solidFill>
                <a:prstDash val="solid"/>
                <a:round/>
              </a:ln>
            </spPr>
          </marker>
          <dLbls>
            <delete val="1"/>
          </dLbls>
          <trendline>
            <trendlineType val="linear"/>
            <dispRSqr val="0"/>
            <dispEq val="1"/>
            <trendlineLbl>
              <layout>
                <manualLayout>
                  <wMode val="factor"/>
                  <hMode val="factor"/>
                  <x val="0.0111288205768564"/>
                  <y val="-0.0544320216070955"/>
                </manualLayout>
              </layout>
              <numFmt formatCode="0.000000" sourceLinked="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trendlineLbl>
          </trendline>
          <xVal>
            <numRef>
              <f>'7. Torque vs. Phase Current'!$E$11:$K$11</f>
              <numCache>
                <formatCode>0.00</formatCode>
                <ptCount val="7"/>
              </numCache>
            </numRef>
          </xVal>
          <yVal>
            <numRef>
              <f>'7. Torque vs. Phase Current'!$E$15:$K$15</f>
              <numCache>
                <formatCode>General</formatCode>
                <ptCount val="7"/>
              </numCache>
            </numRef>
          </yVal>
          <smooth val="0"/>
        </ser>
        <dLbls>
          <showLegendKey val="0"/>
          <showVal val="0"/>
          <showCatName val="0"/>
          <showSerName val="0"/>
          <showPercent val="0"/>
          <showBubbleSize val="0"/>
        </dLbls>
        <axId val="103164928"/>
        <axId val="103175296"/>
      </scatterChart>
      <valAx>
        <axId val="103164928"/>
        <scaling>
          <orientation val="minMax"/>
        </scaling>
        <delete val="0"/>
        <axPos val="b"/>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Phase Current [Arms]</a:t>
                </a:r>
                <a:endParaRPr lang="en-US"/>
              </a:p>
            </rich>
          </tx>
          <layout/>
          <overlay val="0"/>
        </title>
        <numFmt formatCode="0" sourceLinked="0"/>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175296"/>
        <crosses val="autoZero"/>
        <crossBetween val="midCat"/>
      </valAx>
      <valAx>
        <axId val="103175296"/>
        <scaling>
          <orientation val="minMax"/>
        </scaling>
        <delete val="0"/>
        <axPos val="l"/>
        <majorGridlines/>
        <title>
          <tx>
            <rich>
              <a:bodyPr xmlns:a="http://schemas.openxmlformats.org/drawingml/2006/main" anchor="ctr" anchorCtr="1" rot="-540000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Torque [Nm]</a:t>
                </a:r>
                <a:endParaRPr lang="en-US"/>
              </a:p>
            </rich>
          </tx>
          <layout/>
          <overlay val="0"/>
        </title>
        <numFmt formatCode="0.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164928"/>
        <crosses val="autoZero"/>
        <crossBetween val="midCat"/>
      </valAx>
    </plotArea>
    <legend>
      <legendPos val="r"/>
      <legendEntry>
        <idx val="2"/>
        <delete val="1"/>
      </legendEntry>
      <legendEntry>
        <idx val="3"/>
        <delete val="1"/>
      </legendEntry>
      <layout>
        <manualLayout>
          <xMode val="edge"/>
          <yMode val="edge"/>
          <wMode val="factor"/>
          <hMode val="factor"/>
          <x val="0.793312640698716"/>
          <y val="0.1156498663253"/>
          <w val="0.201773767746418"/>
          <h val="0.161987134357264"/>
        </manualLayout>
      </layout>
      <overlay val="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5.xml><?xml version="1.0" encoding="utf-8"?>
<chartSpace xmlns="http://schemas.openxmlformats.org/drawingml/2006/chart">
  <chart>
    <plotArea>
      <layout/>
      <scatterChart>
        <scatterStyle val="line"/>
        <varyColors val="0"/>
        <ser>
          <idx val="0"/>
          <order val="0"/>
          <tx>
            <strRef>
              <f>'8. Winding Heating'!$L$9</f>
              <strCache>
                <ptCount val="1"/>
                <pt idx="0">
                  <v>MA_RTD1</v>
                </pt>
              </strCache>
            </strRef>
          </tx>
          <spPr>
            <a:ln xmlns:a="http://schemas.openxmlformats.org/drawingml/2006/main" algn="ctr" cap="rnd" cmpd="sng" w="28575">
              <a:solidFill>
                <a:schemeClr val="accent1">
                  <a:shade val="95000"/>
                  <a:satMod val="105000"/>
                </a:schemeClr>
              </a:solidFill>
              <a:prstDash val="solid"/>
              <a:round/>
            </a:ln>
          </spPr>
          <marker>
            <symbol val="none"/>
            <spPr>
              <a:ln xmlns:a="http://schemas.openxmlformats.org/drawingml/2006/main">
                <a:prstDash val="solid"/>
              </a:ln>
            </spPr>
          </marker>
          <dLbls>
            <delete val="1"/>
          </dLbls>
          <xVal>
            <numRef>
              <f>'8. Winding Heating'!$K$37:$K$978</f>
              <numCache>
                <formatCode>h:mm:ss.0</formatCode>
                <ptCount val="942"/>
                <pt idx="0">
                  <v>0.000289351851851852</v>
                </pt>
                <pt idx="1">
                  <v>0.000300925925925926</v>
                </pt>
                <pt idx="2">
                  <v>0.0003125</v>
                </pt>
                <pt idx="3">
                  <v>0.000324074074074074</v>
                </pt>
                <pt idx="4">
                  <v>0.000335648148148148</v>
                </pt>
                <pt idx="5">
                  <v>0.000347222222222222</v>
                </pt>
                <pt idx="6">
                  <v>0.000358796296296296</v>
                </pt>
                <pt idx="7">
                  <v>0.00037037037037037</v>
                </pt>
                <pt idx="8">
                  <v>0.000381944444444445</v>
                </pt>
                <pt idx="9">
                  <v>0.000393518518518519</v>
                </pt>
                <pt idx="10">
                  <v>0.000405092592592593</v>
                </pt>
                <pt idx="11">
                  <v>0.000416666666666667</v>
                </pt>
                <pt idx="12">
                  <v>0.000428240740740741</v>
                </pt>
                <pt idx="13">
                  <v>0.000439814814814815</v>
                </pt>
                <pt idx="14">
                  <v>0.000451388888888889</v>
                </pt>
                <pt idx="15">
                  <v>0.000462962962962963</v>
                </pt>
                <pt idx="16">
                  <v>0.000474537037037037</v>
                </pt>
                <pt idx="17">
                  <v>0.000486111111111111</v>
                </pt>
                <pt idx="18">
                  <v>0.000497685185185185</v>
                </pt>
                <pt idx="19">
                  <v>0.000509259259259259</v>
                </pt>
                <pt idx="20">
                  <v>0.000520833333333333</v>
                </pt>
                <pt idx="21">
                  <v>0.000532407407407407</v>
                </pt>
                <pt idx="22">
                  <v>0.000543981481481481</v>
                </pt>
                <pt idx="23">
                  <v>0.000555555555555556</v>
                </pt>
                <pt idx="24">
                  <v>0.00056712962962963</v>
                </pt>
                <pt idx="25">
                  <v>0.000578703703703704</v>
                </pt>
                <pt idx="26">
                  <v>0.000590277777777778</v>
                </pt>
                <pt idx="27">
                  <v>0.000601851851851852</v>
                </pt>
                <pt idx="28">
                  <v>0.000613425925925926</v>
                </pt>
                <pt idx="29">
                  <v>0.000625</v>
                </pt>
                <pt idx="30">
                  <v>0.000636574074074074</v>
                </pt>
                <pt idx="31">
                  <v>0.000648148148148148</v>
                </pt>
                <pt idx="32">
                  <v>0.000659722222222222</v>
                </pt>
                <pt idx="33">
                  <v>0.000671296296296296</v>
                </pt>
                <pt idx="34">
                  <v>0.00068287037037037</v>
                </pt>
                <pt idx="35">
                  <v>0.000694444444444444</v>
                </pt>
                <pt idx="36">
                  <v>0.000706018518518518</v>
                </pt>
                <pt idx="37">
                  <v>0.000717592592592593</v>
                </pt>
                <pt idx="38">
                  <v>0.000729166666666667</v>
                </pt>
                <pt idx="39">
                  <v>0.000740740740740741</v>
                </pt>
                <pt idx="40">
                  <v>0.000752314814814815</v>
                </pt>
                <pt idx="41">
                  <v>0.000763888888888889</v>
                </pt>
                <pt idx="42">
                  <v>0.000775462962962963</v>
                </pt>
                <pt idx="43">
                  <v>0.000787037037037037</v>
                </pt>
                <pt idx="44">
                  <v>0.000798611111111111</v>
                </pt>
                <pt idx="45">
                  <v>0.0008101851851851851</v>
                </pt>
                <pt idx="46">
                  <v>0.0008217592592592589</v>
                </pt>
                <pt idx="47">
                  <v>0.000833333333333333</v>
                </pt>
                <pt idx="48">
                  <v>0.000844907407407407</v>
                </pt>
                <pt idx="49">
                  <v>0.000856481481481482</v>
                </pt>
                <pt idx="50">
                  <v>0.000868055555555556</v>
                </pt>
                <pt idx="51">
                  <v>0.0008796296296296301</v>
                </pt>
                <pt idx="52">
                  <v>0.0008912037037037039</v>
                </pt>
                <pt idx="53">
                  <v>0.000902777777777778</v>
                </pt>
                <pt idx="54">
                  <v>0.000914351851851852</v>
                </pt>
                <pt idx="55">
                  <v>0.000925925925925926</v>
                </pt>
                <pt idx="56">
                  <v>0.0009375</v>
                </pt>
                <pt idx="57">
                  <v>0.000949074074074074</v>
                </pt>
                <pt idx="58">
                  <v>0.000960648148148148</v>
                </pt>
                <pt idx="59">
                  <v>0.000972222222222222</v>
                </pt>
                <pt idx="60">
                  <v>0.000983796296296296</v>
                </pt>
                <pt idx="61">
                  <v>0.00099537037037037</v>
                </pt>
                <pt idx="62">
                  <v>0.00100694444444444</v>
                </pt>
                <pt idx="63">
                  <v>0.00101851851851852</v>
                </pt>
                <pt idx="64">
                  <v>0.00103009259259259</v>
                </pt>
                <pt idx="65">
                  <v>0.00104166666666667</v>
                </pt>
                <pt idx="66">
                  <v>0.00105324074074074</v>
                </pt>
                <pt idx="67">
                  <v>0.00106481481481482</v>
                </pt>
                <pt idx="68">
                  <v>0.00107638888888889</v>
                </pt>
                <pt idx="69">
                  <v>0.00108796296296296</v>
                </pt>
                <pt idx="70">
                  <v>0.00109953703703704</v>
                </pt>
                <pt idx="71">
                  <v>0.00111111111111111</v>
                </pt>
                <pt idx="72">
                  <v>0.00112268518518518</v>
                </pt>
                <pt idx="73">
                  <v>0.00113425925925926</v>
                </pt>
                <pt idx="74">
                  <v>0.00114583333333333</v>
                </pt>
                <pt idx="75">
                  <v>0.00115740740740741</v>
                </pt>
                <pt idx="76">
                  <v>0.00116898148148148</v>
                </pt>
                <pt idx="77">
                  <v>0.00118055555555556</v>
                </pt>
                <pt idx="78">
                  <v>0.00119212962962963</v>
                </pt>
                <pt idx="79">
                  <v>0.0012037037037037</v>
                </pt>
                <pt idx="80">
                  <v>0.00121527777777778</v>
                </pt>
                <pt idx="81">
                  <v>0.00122685185185185</v>
                </pt>
                <pt idx="82">
                  <v>0.00123842592592593</v>
                </pt>
                <pt idx="83">
                  <v>0.00125</v>
                </pt>
                <pt idx="84">
                  <v>0.00126157407407407</v>
                </pt>
                <pt idx="85">
                  <v>0.00127314814814815</v>
                </pt>
                <pt idx="86">
                  <v>0.00128472222222222</v>
                </pt>
                <pt idx="87">
                  <v>0.0012962962962963</v>
                </pt>
                <pt idx="88">
                  <v>0.00130787037037037</v>
                </pt>
                <pt idx="89">
                  <v>0.00131944444444444</v>
                </pt>
                <pt idx="90">
                  <v>0.00133101851851852</v>
                </pt>
                <pt idx="91">
                  <v>0.00134259259259259</v>
                </pt>
                <pt idx="92">
                  <v>0.00135416666666667</v>
                </pt>
                <pt idx="93">
                  <v>0.00136574074074074</v>
                </pt>
                <pt idx="94">
                  <v>0.00137731481481481</v>
                </pt>
                <pt idx="95">
                  <v>0.00138888888888889</v>
                </pt>
                <pt idx="96">
                  <v>0.00140046296296296</v>
                </pt>
                <pt idx="97">
                  <v>0.00141203703703704</v>
                </pt>
                <pt idx="98">
                  <v>0.00142361111111111</v>
                </pt>
                <pt idx="99">
                  <v>0.00143518518518518</v>
                </pt>
                <pt idx="100">
                  <v>0.00144675925925926</v>
                </pt>
                <pt idx="101">
                  <v>0.00145833333333333</v>
                </pt>
                <pt idx="102">
                  <v>0.00146990740740741</v>
                </pt>
                <pt idx="103">
                  <v>0.00148148148148148</v>
                </pt>
                <pt idx="104">
                  <v>0.00149305555555556</v>
                </pt>
                <pt idx="105">
                  <v>0.00150462962962963</v>
                </pt>
                <pt idx="106">
                  <v>0.0015162037037037</v>
                </pt>
                <pt idx="107">
                  <v>0.00152777777777778</v>
                </pt>
                <pt idx="108">
                  <v>0.00153935185185185</v>
                </pt>
                <pt idx="109">
                  <v>0.00155092592592593</v>
                </pt>
                <pt idx="110">
                  <v>0.0015625</v>
                </pt>
                <pt idx="111">
                  <v>0.00157407407407407</v>
                </pt>
                <pt idx="112">
                  <v>0.00158564814814815</v>
                </pt>
                <pt idx="113">
                  <v>0.00159722222222222</v>
                </pt>
                <pt idx="114">
                  <v>0.0016087962962963</v>
                </pt>
                <pt idx="115">
                  <v>0.00162037037037037</v>
                </pt>
                <pt idx="116">
                  <v>0.00163194444444444</v>
                </pt>
                <pt idx="117">
                  <v>0.00164351851851852</v>
                </pt>
                <pt idx="118">
                  <v>0.00165509259259259</v>
                </pt>
                <pt idx="119">
                  <v>0.00166666666666667</v>
                </pt>
                <pt idx="120">
                  <v>0.00167824074074074</v>
                </pt>
                <pt idx="121">
                  <v>0.00168981481481482</v>
                </pt>
                <pt idx="122">
                  <v>0.00170138888888889</v>
                </pt>
                <pt idx="123">
                  <v>0.00171296296296296</v>
                </pt>
                <pt idx="124">
                  <v>0.00172453703703704</v>
                </pt>
                <pt idx="125">
                  <v>0.00173611111111111</v>
                </pt>
                <pt idx="126">
                  <v>0.00174768518518519</v>
                </pt>
                <pt idx="127">
                  <v>0.00175925925925926</v>
                </pt>
                <pt idx="128">
                  <v>0.00177083333333333</v>
                </pt>
                <pt idx="129">
                  <v>0.00178240740740741</v>
                </pt>
                <pt idx="130">
                  <v>0.00179398148148148</v>
                </pt>
                <pt idx="131">
                  <v>0.00180555555555556</v>
                </pt>
                <pt idx="132">
                  <v>0.00181712962962963</v>
                </pt>
                <pt idx="133">
                  <v>0.0018287037037037</v>
                </pt>
                <pt idx="134">
                  <v>0.00184027777777778</v>
                </pt>
                <pt idx="135">
                  <v>0.00185185185185185</v>
                </pt>
                <pt idx="136">
                  <v>0.00186342592592593</v>
                </pt>
                <pt idx="137">
                  <v>0.001875</v>
                </pt>
                <pt idx="138">
                  <v>0.00188657407407407</v>
                </pt>
                <pt idx="139">
                  <v>0.00189814814814815</v>
                </pt>
                <pt idx="140">
                  <v>0.00190972222222222</v>
                </pt>
                <pt idx="141">
                  <v>0.0019212962962963</v>
                </pt>
                <pt idx="142">
                  <v>0.00193287037037037</v>
                </pt>
                <pt idx="143">
                  <v>0.00194444444444444</v>
                </pt>
                <pt idx="144">
                  <v>0.00195601851851852</v>
                </pt>
                <pt idx="145">
                  <v>0.00196759259259259</v>
                </pt>
                <pt idx="146">
                  <v>0.00197916666666667</v>
                </pt>
                <pt idx="147">
                  <v>0.00199074074074074</v>
                </pt>
                <pt idx="148">
                  <v>0.00200231481481481</v>
                </pt>
                <pt idx="149">
                  <v>0.00201388888888889</v>
                </pt>
                <pt idx="150">
                  <v>0.00202546296296296</v>
                </pt>
                <pt idx="151">
                  <v>0.00203703703703704</v>
                </pt>
                <pt idx="152">
                  <v>0.00204861111111111</v>
                </pt>
                <pt idx="153">
                  <v>0.00206018518518518</v>
                </pt>
                <pt idx="154">
                  <v>0.00207175925925926</v>
                </pt>
                <pt idx="155">
                  <v>0.00208333333333333</v>
                </pt>
                <pt idx="156">
                  <v>0.00209490740740741</v>
                </pt>
                <pt idx="157">
                  <v>0.00210648148148148</v>
                </pt>
                <pt idx="158">
                  <v>0.00211805555555556</v>
                </pt>
                <pt idx="159">
                  <v>0.00212962962962963</v>
                </pt>
                <pt idx="160">
                  <v>0.0021412037037037</v>
                </pt>
                <pt idx="161">
                  <v>0.00215277777777778</v>
                </pt>
                <pt idx="162">
                  <v>0.00216435185185185</v>
                </pt>
                <pt idx="163">
                  <v>0.00217592592592593</v>
                </pt>
                <pt idx="164">
                  <v>0.0021875</v>
                </pt>
                <pt idx="165">
                  <v>0.00219907407407407</v>
                </pt>
                <pt idx="166">
                  <v>0.00221064814814815</v>
                </pt>
                <pt idx="167">
                  <v>0.00222222222222222</v>
                </pt>
                <pt idx="168">
                  <v>0.0022337962962963</v>
                </pt>
                <pt idx="169">
                  <v>0.00224537037037037</v>
                </pt>
                <pt idx="170">
                  <v>0.00225694444444444</v>
                </pt>
                <pt idx="171">
                  <v>0.00226851851851852</v>
                </pt>
                <pt idx="172">
                  <v>0.00228009259259259</v>
                </pt>
                <pt idx="173">
                  <v>0.00229166666666667</v>
                </pt>
                <pt idx="174">
                  <v>0.00230324074074074</v>
                </pt>
                <pt idx="175">
                  <v>0.00231481481481482</v>
                </pt>
                <pt idx="176">
                  <v>0.00232638888888889</v>
                </pt>
                <pt idx="177">
                  <v>0.00233796296296296</v>
                </pt>
                <pt idx="178">
                  <v>0.00234953703703704</v>
                </pt>
                <pt idx="179">
                  <v>0.00236111111111111</v>
                </pt>
                <pt idx="180">
                  <v>0.00237268518518519</v>
                </pt>
                <pt idx="181">
                  <v>0.00238425925925926</v>
                </pt>
                <pt idx="182">
                  <v>0.00239583333333333</v>
                </pt>
                <pt idx="183">
                  <v>0.00240740740740741</v>
                </pt>
                <pt idx="184">
                  <v>0.00241898148148148</v>
                </pt>
                <pt idx="185">
                  <v>0.00243055555555556</v>
                </pt>
                <pt idx="186">
                  <v>0.00244212962962963</v>
                </pt>
                <pt idx="187">
                  <v>0.0024537037037037</v>
                </pt>
                <pt idx="188">
                  <v>0.00246527777777778</v>
                </pt>
                <pt idx="189">
                  <v>0.00247685185185185</v>
                </pt>
                <pt idx="190">
                  <v>0.00248842592592593</v>
                </pt>
                <pt idx="191">
                  <v>0.0025</v>
                </pt>
                <pt idx="192">
                  <v>0.00251157407407407</v>
                </pt>
                <pt idx="193">
                  <v>0.00252314814814815</v>
                </pt>
                <pt idx="194">
                  <v>0.00253472222222222</v>
                </pt>
                <pt idx="195">
                  <v>0.0025462962962963</v>
                </pt>
                <pt idx="196">
                  <v>0.00255787037037037</v>
                </pt>
                <pt idx="197">
                  <v>0.00256944444444444</v>
                </pt>
                <pt idx="198">
                  <v>0.00258101851851852</v>
                </pt>
                <pt idx="199">
                  <v>0.00259259259259259</v>
                </pt>
                <pt idx="200">
                  <v>0.00260416666666667</v>
                </pt>
                <pt idx="201">
                  <v>0.00261574074074074</v>
                </pt>
                <pt idx="202">
                  <v>0.00262731481481481</v>
                </pt>
                <pt idx="203">
                  <v>0.00263888888888889</v>
                </pt>
                <pt idx="204">
                  <v>0.00265046296296296</v>
                </pt>
                <pt idx="205">
                  <v>0.00266203703703704</v>
                </pt>
                <pt idx="206">
                  <v>0.00267361111111111</v>
                </pt>
                <pt idx="207">
                  <v>0.00268518518518518</v>
                </pt>
                <pt idx="208">
                  <v>0.00269675925925926</v>
                </pt>
                <pt idx="209">
                  <v>0.00270833333333333</v>
                </pt>
                <pt idx="210">
                  <v>0.00271990740740741</v>
                </pt>
                <pt idx="211">
                  <v>0.00273148148148148</v>
                </pt>
                <pt idx="212">
                  <v>0.00274305555555556</v>
                </pt>
                <pt idx="213">
                  <v>0.00275462962962963</v>
                </pt>
                <pt idx="214">
                  <v>0.0027662037037037</v>
                </pt>
                <pt idx="215">
                  <v>0.00277777777777778</v>
                </pt>
                <pt idx="216">
                  <v>0.00278935185185185</v>
                </pt>
                <pt idx="217">
                  <v>0.00280092592592593</v>
                </pt>
                <pt idx="218">
                  <v>0.0028125</v>
                </pt>
                <pt idx="219">
                  <v>0.00282407407407407</v>
                </pt>
                <pt idx="220">
                  <v>0.00283564814814815</v>
                </pt>
                <pt idx="221">
                  <v>0.00284722222222222</v>
                </pt>
                <pt idx="222">
                  <v>0.0028587962962963</v>
                </pt>
                <pt idx="223">
                  <v>0.00287037037037037</v>
                </pt>
                <pt idx="224">
                  <v>0.00288194444444444</v>
                </pt>
                <pt idx="225">
                  <v>0.00289351851851852</v>
                </pt>
                <pt idx="226">
                  <v>0.00290509259259259</v>
                </pt>
                <pt idx="227">
                  <v>0.00291666666666667</v>
                </pt>
                <pt idx="228">
                  <v>0.00292824074074074</v>
                </pt>
                <pt idx="229">
                  <v>0.00293981481481481</v>
                </pt>
                <pt idx="230">
                  <v>0.00295138888888889</v>
                </pt>
                <pt idx="231">
                  <v>0.00296296296296296</v>
                </pt>
                <pt idx="232">
                  <v>0.00297453703703704</v>
                </pt>
                <pt idx="233">
                  <v>0.00298611111111111</v>
                </pt>
                <pt idx="234">
                  <v>0.00299768518518518</v>
                </pt>
                <pt idx="235">
                  <v>0.00300925925925926</v>
                </pt>
                <pt idx="236">
                  <v>0.00302083333333333</v>
                </pt>
                <pt idx="237">
                  <v>0.00303240740740741</v>
                </pt>
                <pt idx="238">
                  <v>0.00304398148148148</v>
                </pt>
                <pt idx="239">
                  <v>0.00305555555555556</v>
                </pt>
                <pt idx="240">
                  <v>0.00306712962962963</v>
                </pt>
                <pt idx="241">
                  <v>0.0030787037037037</v>
                </pt>
                <pt idx="242">
                  <v>0.00309027777777778</v>
                </pt>
                <pt idx="243">
                  <v>0.00310185185185185</v>
                </pt>
                <pt idx="244">
                  <v>0.00311342592592593</v>
                </pt>
                <pt idx="245">
                  <v>0.003125</v>
                </pt>
                <pt idx="246">
                  <v>0.00313657407407407</v>
                </pt>
                <pt idx="247">
                  <v>0.00314814814814815</v>
                </pt>
                <pt idx="248">
                  <v>0.00315972222222222</v>
                </pt>
                <pt idx="249">
                  <v>0.0031712962962963</v>
                </pt>
                <pt idx="250">
                  <v>0.00318287037037037</v>
                </pt>
                <pt idx="251">
                  <v>0.00319444444444445</v>
                </pt>
                <pt idx="252">
                  <v>0.00320601851851852</v>
                </pt>
                <pt idx="253">
                  <v>0.00321759259259259</v>
                </pt>
                <pt idx="254">
                  <v>0.00322916666666667</v>
                </pt>
                <pt idx="255">
                  <v>0.00324074074074074</v>
                </pt>
                <pt idx="256">
                  <v>0.00325231481481482</v>
                </pt>
                <pt idx="257">
                  <v>0.00326388888888889</v>
                </pt>
                <pt idx="258">
                  <v>0.00327546296296296</v>
                </pt>
                <pt idx="259">
                  <v>0.00328703703703704</v>
                </pt>
                <pt idx="260">
                  <v>0.00329861111111111</v>
                </pt>
                <pt idx="261">
                  <v>0.00331018518518519</v>
                </pt>
                <pt idx="262">
                  <v>0.00332175925925926</v>
                </pt>
                <pt idx="263">
                  <v>0.00333333333333333</v>
                </pt>
                <pt idx="264">
                  <v>0.00334490740740741</v>
                </pt>
                <pt idx="265">
                  <v>0.00335648148148148</v>
                </pt>
                <pt idx="266">
                  <v>0.00336805555555556</v>
                </pt>
                <pt idx="267">
                  <v>0.00337962962962963</v>
                </pt>
                <pt idx="268">
                  <v>0.0033912037037037</v>
                </pt>
                <pt idx="269">
                  <v>0.00340277777777778</v>
                </pt>
                <pt idx="270">
                  <v>0.00341435185185185</v>
                </pt>
                <pt idx="271">
                  <v>0.00342592592592593</v>
                </pt>
                <pt idx="272">
                  <v>0.0034375</v>
                </pt>
                <pt idx="273">
                  <v>0.00344907407407407</v>
                </pt>
                <pt idx="274">
                  <v>0.00346064814814815</v>
                </pt>
                <pt idx="275">
                  <v>0.00347222222222222</v>
                </pt>
                <pt idx="276">
                  <v>0.0034837962962963</v>
                </pt>
                <pt idx="277">
                  <v>0.00349537037037037</v>
                </pt>
                <pt idx="278">
                  <v>0.00350694444444444</v>
                </pt>
                <pt idx="279">
                  <v>0.00351851851851852</v>
                </pt>
                <pt idx="280">
                  <v>0.00353009259259259</v>
                </pt>
                <pt idx="281">
                  <v>0.00354166666666667</v>
                </pt>
                <pt idx="282">
                  <v>0.00355324074074074</v>
                </pt>
                <pt idx="283">
                  <v>0.00356481481481481</v>
                </pt>
                <pt idx="284">
                  <v>0.00357638888888889</v>
                </pt>
                <pt idx="285">
                  <v>0.00358796296296296</v>
                </pt>
                <pt idx="286">
                  <v>0.00359953703703704</v>
                </pt>
                <pt idx="287">
                  <v>0.00361111111111111</v>
                </pt>
                <pt idx="288">
                  <v>0.00362268518518518</v>
                </pt>
                <pt idx="289">
                  <v>0.00363425925925926</v>
                </pt>
                <pt idx="290">
                  <v>0.00364583333333333</v>
                </pt>
                <pt idx="291">
                  <v>0.00365740740740741</v>
                </pt>
                <pt idx="292">
                  <v>0.00366898148148148</v>
                </pt>
                <pt idx="293">
                  <v>0.00368055555555555</v>
                </pt>
                <pt idx="294">
                  <v>0.00369212962962963</v>
                </pt>
                <pt idx="295">
                  <v>0.0037037037037037</v>
                </pt>
                <pt idx="296">
                  <v>0.00371527777777778</v>
                </pt>
                <pt idx="297">
                  <v>0.00372685185185185</v>
                </pt>
                <pt idx="298">
                  <v>0.00373842592592593</v>
                </pt>
                <pt idx="299">
                  <v>0.00375</v>
                </pt>
                <pt idx="300">
                  <v>0.00376157407407407</v>
                </pt>
                <pt idx="301">
                  <v>0.00377314814814815</v>
                </pt>
                <pt idx="302">
                  <v>0.00378472222222222</v>
                </pt>
                <pt idx="303">
                  <v>0.0037962962962963</v>
                </pt>
                <pt idx="304">
                  <v>0.00380787037037037</v>
                </pt>
                <pt idx="305">
                  <v>0.00381944444444444</v>
                </pt>
                <pt idx="306">
                  <v>0.00383101851851852</v>
                </pt>
                <pt idx="307">
                  <v>0.00384259259259259</v>
                </pt>
                <pt idx="308">
                  <v>0.00385416666666667</v>
                </pt>
                <pt idx="309">
                  <v>0.00386574074074074</v>
                </pt>
                <pt idx="310">
                  <v>0.00387731481481482</v>
                </pt>
                <pt idx="311">
                  <v>0.00388888888888889</v>
                </pt>
                <pt idx="312">
                  <v>0.00390046296296296</v>
                </pt>
                <pt idx="313">
                  <v>0.00391203703703704</v>
                </pt>
                <pt idx="314">
                  <v>0.00392361111111111</v>
                </pt>
                <pt idx="315">
                  <v>0.00393518518518518</v>
                </pt>
                <pt idx="316">
                  <v>0.00394675925925926</v>
                </pt>
                <pt idx="317">
                  <v>0.00395833333333333</v>
                </pt>
                <pt idx="318">
                  <v>0.00396990740740741</v>
                </pt>
                <pt idx="319">
                  <v>0.00398148148148148</v>
                </pt>
                <pt idx="320">
                  <v>0.00399305555555556</v>
                </pt>
                <pt idx="321">
                  <v>0.00400462962962963</v>
                </pt>
                <pt idx="322">
                  <v>0.0040162037037037</v>
                </pt>
                <pt idx="323">
                  <v>0.00402777777777778</v>
                </pt>
                <pt idx="324">
                  <v>0.00403935185185185</v>
                </pt>
                <pt idx="325">
                  <v>0.00405092592592593</v>
                </pt>
                <pt idx="326">
                  <v>0.0040625</v>
                </pt>
                <pt idx="327">
                  <v>0.00407407407407407</v>
                </pt>
                <pt idx="328">
                  <v>0.00408564814814815</v>
                </pt>
                <pt idx="329">
                  <v>0.00409722222222222</v>
                </pt>
                <pt idx="330">
                  <v>0.0041087962962963</v>
                </pt>
                <pt idx="331">
                  <v>0.00412037037037037</v>
                </pt>
                <pt idx="332">
                  <v>0.00413194444444444</v>
                </pt>
                <pt idx="333">
                  <v>0.00414351851851852</v>
                </pt>
                <pt idx="334">
                  <v>0.00415509259259259</v>
                </pt>
                <pt idx="335">
                  <v>0.00416666666666667</v>
                </pt>
                <pt idx="336">
                  <v>0.00417824074074074</v>
                </pt>
                <pt idx="337">
                  <v>0.00418981481481481</v>
                </pt>
                <pt idx="338">
                  <v>0.00420138888888889</v>
                </pt>
                <pt idx="339">
                  <v>0.00421296296296296</v>
                </pt>
                <pt idx="340">
                  <v>0.00422453703703704</v>
                </pt>
                <pt idx="341">
                  <v>0.00423611111111111</v>
                </pt>
                <pt idx="342">
                  <v>0.00424768518518519</v>
                </pt>
                <pt idx="343">
                  <v>0.00425925925925926</v>
                </pt>
                <pt idx="344">
                  <v>0.00427083333333333</v>
                </pt>
                <pt idx="345">
                  <v>0.00428240740740741</v>
                </pt>
                <pt idx="346">
                  <v>0.00429398148148148</v>
                </pt>
                <pt idx="347">
                  <v>0.00430555555555556</v>
                </pt>
                <pt idx="348">
                  <v>0.00431712962962963</v>
                </pt>
                <pt idx="349">
                  <v>0.0043287037037037</v>
                </pt>
                <pt idx="350">
                  <v>0.00434027777777778</v>
                </pt>
                <pt idx="351">
                  <v>0.00435185185185185</v>
                </pt>
                <pt idx="352">
                  <v>0.00436342592592593</v>
                </pt>
                <pt idx="353">
                  <v>0.004375</v>
                </pt>
                <pt idx="354">
                  <v>0.00438657407407407</v>
                </pt>
                <pt idx="355">
                  <v>0.00439814814814815</v>
                </pt>
                <pt idx="356">
                  <v>0.00440972222222222</v>
                </pt>
                <pt idx="357">
                  <v>0.0044212962962963</v>
                </pt>
                <pt idx="358">
                  <v>0.00443287037037037</v>
                </pt>
                <pt idx="359">
                  <v>0.00444444444444444</v>
                </pt>
                <pt idx="360">
                  <v>0.00445601851851852</v>
                </pt>
                <pt idx="361">
                  <v>0.00446759259259259</v>
                </pt>
                <pt idx="362">
                  <v>0.00447916666666667</v>
                </pt>
                <pt idx="363">
                  <v>0.00449074074074074</v>
                </pt>
                <pt idx="364">
                  <v>0.00450231481481481</v>
                </pt>
                <pt idx="365">
                  <v>0.00451388888888889</v>
                </pt>
                <pt idx="366">
                  <v>0.00452546296296296</v>
                </pt>
                <pt idx="367">
                  <v>0.00453703703703704</v>
                </pt>
                <pt idx="368">
                  <v>0.00454861111111111</v>
                </pt>
                <pt idx="369">
                  <v>0.00456018518518519</v>
                </pt>
                <pt idx="370">
                  <v>0.00457175925925926</v>
                </pt>
                <pt idx="371">
                  <v>0.00458333333333333</v>
                </pt>
                <pt idx="372">
                  <v>0.00459490740740741</v>
                </pt>
                <pt idx="373">
                  <v>0.00460648148148148</v>
                </pt>
                <pt idx="374">
                  <v>0.00461805555555556</v>
                </pt>
                <pt idx="375">
                  <v>0.00462962962962963</v>
                </pt>
                <pt idx="376">
                  <v>0.0046412037037037</v>
                </pt>
                <pt idx="377">
                  <v>0.00465277777777778</v>
                </pt>
                <pt idx="378">
                  <v>0.00466435185185185</v>
                </pt>
                <pt idx="379">
                  <v>0.00467592592592593</v>
                </pt>
                <pt idx="380">
                  <v>0.0046875</v>
                </pt>
                <pt idx="381">
                  <v>0.00469907407407407</v>
                </pt>
                <pt idx="382">
                  <v>0.00471064814814815</v>
                </pt>
                <pt idx="383">
                  <v>0.00472222222222222</v>
                </pt>
                <pt idx="384">
                  <v>0.0047337962962963</v>
                </pt>
                <pt idx="385">
                  <v>0.00474537037037037</v>
                </pt>
                <pt idx="386">
                  <v>0.00475694444444444</v>
                </pt>
                <pt idx="387">
                  <v>0.00476851851851852</v>
                </pt>
                <pt idx="388">
                  <v>0.00478009259259259</v>
                </pt>
                <pt idx="389">
                  <v>0.00479166666666667</v>
                </pt>
                <pt idx="390">
                  <v>0.00480324074074074</v>
                </pt>
                <pt idx="391">
                  <v>0.00481481481481482</v>
                </pt>
                <pt idx="392">
                  <v>0.00482638888888889</v>
                </pt>
                <pt idx="393">
                  <v>0.00483796296296296</v>
                </pt>
                <pt idx="394">
                  <v>0.00484953703703704</v>
                </pt>
                <pt idx="395">
                  <v>0.00486111111111111</v>
                </pt>
                <pt idx="396">
                  <v>0.00487268518518518</v>
                </pt>
                <pt idx="397">
                  <v>0.00488425925925926</v>
                </pt>
                <pt idx="398">
                  <v>0.00489583333333333</v>
                </pt>
                <pt idx="399">
                  <v>0.00490740740740741</v>
                </pt>
                <pt idx="400">
                  <v>0.00491898148148148</v>
                </pt>
                <pt idx="401">
                  <v>0.00493055555555556</v>
                </pt>
                <pt idx="402">
                  <v>0.00494212962962963</v>
                </pt>
                <pt idx="403">
                  <v>0.0049537037037037</v>
                </pt>
                <pt idx="404">
                  <v>0.00496527777777778</v>
                </pt>
                <pt idx="405">
                  <v>0.00497685185185185</v>
                </pt>
                <pt idx="406">
                  <v>0.00498842592592593</v>
                </pt>
                <pt idx="407">
                  <v>0.005</v>
                </pt>
                <pt idx="408">
                  <v>0.00501157407407407</v>
                </pt>
                <pt idx="409">
                  <v>0.00502314814814815</v>
                </pt>
                <pt idx="410">
                  <v>0.00503472222222222</v>
                </pt>
                <pt idx="411">
                  <v>0.0050462962962963</v>
                </pt>
                <pt idx="412">
                  <v>0.00505787037037037</v>
                </pt>
                <pt idx="413">
                  <v>0.00506944444444444</v>
                </pt>
                <pt idx="414">
                  <v>0.00508101851851852</v>
                </pt>
                <pt idx="415">
                  <v>0.00509259259259259</v>
                </pt>
                <pt idx="416">
                  <v>0.00510416666666667</v>
                </pt>
                <pt idx="417">
                  <v>0.00511574074074074</v>
                </pt>
                <pt idx="418">
                  <v>0.00512731481481481</v>
                </pt>
                <pt idx="419">
                  <v>0.00513888888888889</v>
                </pt>
                <pt idx="420">
                  <v>0.00515046296296296</v>
                </pt>
                <pt idx="421">
                  <v>0.00516203703703704</v>
                </pt>
                <pt idx="422">
                  <v>0.00517361111111111</v>
                </pt>
                <pt idx="423">
                  <v>0.00518518518518519</v>
                </pt>
                <pt idx="424">
                  <v>0.00519675925925926</v>
                </pt>
                <pt idx="425">
                  <v>0.00520833333333333</v>
                </pt>
                <pt idx="426">
                  <v>0.00521990740740741</v>
                </pt>
                <pt idx="427">
                  <v>0.00523148148148148</v>
                </pt>
                <pt idx="428">
                  <v>0.00524305555555555</v>
                </pt>
                <pt idx="429">
                  <v>0.00525462962962963</v>
                </pt>
                <pt idx="430">
                  <v>0.0052662037037037</v>
                </pt>
                <pt idx="431">
                  <v>0.00527777777777778</v>
                </pt>
                <pt idx="432">
                  <v>0.00528935185185185</v>
                </pt>
                <pt idx="433">
                  <v>0.00530092592592593</v>
                </pt>
                <pt idx="434">
                  <v>0.0053125</v>
                </pt>
                <pt idx="435">
                  <v>0.00532407407407407</v>
                </pt>
                <pt idx="436">
                  <v>0.00533564814814815</v>
                </pt>
                <pt idx="437">
                  <v>0.00534722222222222</v>
                </pt>
                <pt idx="438">
                  <v>0.0053587962962963</v>
                </pt>
                <pt idx="439">
                  <v>0.00537037037037037</v>
                </pt>
                <pt idx="440">
                  <v>0.00538194444444444</v>
                </pt>
                <pt idx="441">
                  <v>0.00539351851851852</v>
                </pt>
                <pt idx="442">
                  <v>0.00540509259259259</v>
                </pt>
                <pt idx="443">
                  <v>0.00541666666666667</v>
                </pt>
                <pt idx="444">
                  <v>0.00542824074074074</v>
                </pt>
                <pt idx="445">
                  <v>0.00543981481481481</v>
                </pt>
                <pt idx="446">
                  <v>0.00545138888888889</v>
                </pt>
                <pt idx="447">
                  <v>0.00546296296296296</v>
                </pt>
                <pt idx="448">
                  <v>0.00547453703703704</v>
                </pt>
                <pt idx="449">
                  <v>0.00548611111111111</v>
                </pt>
                <pt idx="450">
                  <v>0.00549768518518519</v>
                </pt>
                <pt idx="451">
                  <v>0.00550925925925926</v>
                </pt>
                <pt idx="452">
                  <v>0.00552083333333333</v>
                </pt>
                <pt idx="453">
                  <v>0.00553240740740741</v>
                </pt>
                <pt idx="454">
                  <v>0.00554398148148148</v>
                </pt>
                <pt idx="455">
                  <v>0.00555555555555556</v>
                </pt>
                <pt idx="456">
                  <v>0.00556712962962963</v>
                </pt>
                <pt idx="457">
                  <v>0.0055787037037037</v>
                </pt>
                <pt idx="458">
                  <v>0.00559027777777778</v>
                </pt>
                <pt idx="459">
                  <v>0.00560185185185185</v>
                </pt>
                <pt idx="460">
                  <v>0.00561342592592593</v>
                </pt>
                <pt idx="461">
                  <v>0.005625</v>
                </pt>
                <pt idx="462">
                  <v>0.00563657407407407</v>
                </pt>
                <pt idx="463">
                  <v>0.00564814814814815</v>
                </pt>
                <pt idx="464">
                  <v>0.00565972222222222</v>
                </pt>
                <pt idx="465">
                  <v>0.0056712962962963</v>
                </pt>
                <pt idx="466">
                  <v>0.00568287037037037</v>
                </pt>
                <pt idx="467">
                  <v>0.00569444444444444</v>
                </pt>
                <pt idx="468">
                  <v>0.00570601851851852</v>
                </pt>
                <pt idx="469">
                  <v>0.00571759259259259</v>
                </pt>
                <pt idx="470">
                  <v>0.00572916666666667</v>
                </pt>
                <pt idx="471">
                  <v>0.00574074074074074</v>
                </pt>
                <pt idx="472">
                  <v>0.00575231481481482</v>
                </pt>
                <pt idx="473">
                  <v>0.00576388888888889</v>
                </pt>
                <pt idx="474">
                  <v>0.00577546296296296</v>
                </pt>
                <pt idx="475">
                  <v>0.00578703703703704</v>
                </pt>
                <pt idx="476">
                  <v>0.00579861111111111</v>
                </pt>
                <pt idx="477">
                  <v>0.00581018518518519</v>
                </pt>
                <pt idx="478">
                  <v>0.00582175925925926</v>
                </pt>
                <pt idx="479">
                  <v>0.00583333333333333</v>
                </pt>
                <pt idx="480">
                  <v>0.00584490740740741</v>
                </pt>
                <pt idx="481">
                  <v>0.00585648148148148</v>
                </pt>
                <pt idx="482">
                  <v>0.00586805555555556</v>
                </pt>
                <pt idx="483">
                  <v>0.00587962962962963</v>
                </pt>
                <pt idx="484">
                  <v>0.0058912037037037</v>
                </pt>
                <pt idx="485">
                  <v>0.00590277777777778</v>
                </pt>
                <pt idx="486">
                  <v>0.00591435185185185</v>
                </pt>
                <pt idx="487">
                  <v>0.00592592592592593</v>
                </pt>
                <pt idx="488">
                  <v>0.0059375</v>
                </pt>
                <pt idx="489">
                  <v>0.00594907407407408</v>
                </pt>
                <pt idx="490">
                  <v>0.00596064814814815</v>
                </pt>
                <pt idx="491">
                  <v>0.00597222222222222</v>
                </pt>
                <pt idx="492">
                  <v>0.0059837962962963</v>
                </pt>
                <pt idx="493">
                  <v>0.00599537037037037</v>
                </pt>
                <pt idx="494">
                  <v>0.00600694444444444</v>
                </pt>
                <pt idx="495">
                  <v>0.00601851851851852</v>
                </pt>
                <pt idx="496">
                  <v>0.00603009259259259</v>
                </pt>
                <pt idx="497">
                  <v>0.00604166666666667</v>
                </pt>
                <pt idx="498">
                  <v>0.00605324074074074</v>
                </pt>
                <pt idx="499">
                  <v>0.00606481481481482</v>
                </pt>
                <pt idx="500">
                  <v>0.00607638888888889</v>
                </pt>
                <pt idx="501">
                  <v>0.00608796296296296</v>
                </pt>
                <pt idx="502">
                  <v>0.00609953703703704</v>
                </pt>
                <pt idx="503">
                  <v>0.00611111111111111</v>
                </pt>
                <pt idx="504">
                  <v>0.00612268518518518</v>
                </pt>
                <pt idx="505">
                  <v>0.00613425925925926</v>
                </pt>
                <pt idx="506">
                  <v>0.00614583333333333</v>
                </pt>
                <pt idx="507">
                  <v>0.00615740740740741</v>
                </pt>
                <pt idx="508">
                  <v>0.00616898148148148</v>
                </pt>
                <pt idx="509">
                  <v>0.00618055555555555</v>
                </pt>
                <pt idx="510">
                  <v>0.00619212962962963</v>
                </pt>
                <pt idx="511">
                  <v>0.0062037037037037</v>
                </pt>
                <pt idx="512">
                  <v>0.00621527777777778</v>
                </pt>
                <pt idx="513">
                  <v>0.00622685185185185</v>
                </pt>
                <pt idx="514">
                  <v>0.00623842592592593</v>
                </pt>
                <pt idx="515">
                  <v>0.00625</v>
                </pt>
                <pt idx="516">
                  <v>0.00626157407407407</v>
                </pt>
                <pt idx="517">
                  <v>0.00627314814814815</v>
                </pt>
                <pt idx="518">
                  <v>0.00628472222222222</v>
                </pt>
                <pt idx="519">
                  <v>0.0062962962962963</v>
                </pt>
                <pt idx="520">
                  <v>0.00630787037037037</v>
                </pt>
                <pt idx="521">
                  <v>0.00631944444444444</v>
                </pt>
                <pt idx="522">
                  <v>0.00633101851851852</v>
                </pt>
                <pt idx="523">
                  <v>0.00634259259259259</v>
                </pt>
                <pt idx="524">
                  <v>0.00635416666666667</v>
                </pt>
                <pt idx="525">
                  <v>0.00636574074074074</v>
                </pt>
                <pt idx="526">
                  <v>0.00637731481481481</v>
                </pt>
                <pt idx="527">
                  <v>0.00638888888888889</v>
                </pt>
                <pt idx="528">
                  <v>0.00640046296296296</v>
                </pt>
                <pt idx="529">
                  <v>0.00641203703703704</v>
                </pt>
                <pt idx="530">
                  <v>0.00642361111111111</v>
                </pt>
                <pt idx="531">
                  <v>0.00643518518518519</v>
                </pt>
                <pt idx="532">
                  <v>0.00644675925925926</v>
                </pt>
                <pt idx="533">
                  <v>0.00645833333333333</v>
                </pt>
                <pt idx="534">
                  <v>0.00646990740740741</v>
                </pt>
                <pt idx="535">
                  <v>0.00648148148148148</v>
                </pt>
                <pt idx="536">
                  <v>0.00649305555555556</v>
                </pt>
                <pt idx="537">
                  <v>0.00650462962962963</v>
                </pt>
                <pt idx="538">
                  <v>0.0065162037037037</v>
                </pt>
                <pt idx="539">
                  <v>0.00652777777777778</v>
                </pt>
                <pt idx="540">
                  <v>0.00653935185185185</v>
                </pt>
                <pt idx="541">
                  <v>0.00655092592592593</v>
                </pt>
                <pt idx="542">
                  <v>0.0065625</v>
                </pt>
                <pt idx="543">
                  <v>0.00657407407407407</v>
                </pt>
                <pt idx="544">
                  <v>0.00658564814814815</v>
                </pt>
                <pt idx="545">
                  <v>0.00659722222222222</v>
                </pt>
                <pt idx="546">
                  <v>0.0066087962962963</v>
                </pt>
                <pt idx="547">
                  <v>0.00662037037037037</v>
                </pt>
                <pt idx="548">
                  <v>0.00663194444444444</v>
                </pt>
                <pt idx="549">
                  <v>0.00664351851851852</v>
                </pt>
                <pt idx="550">
                  <v>0.00665509259259259</v>
                </pt>
                <pt idx="551">
                  <v>0.00666666666666667</v>
                </pt>
                <pt idx="552">
                  <v>0.00667824074074074</v>
                </pt>
                <pt idx="553">
                  <v>0.00668981481481482</v>
                </pt>
                <pt idx="554">
                  <v>0.00670138888888889</v>
                </pt>
                <pt idx="555">
                  <v>0.00671296296296296</v>
                </pt>
                <pt idx="556">
                  <v>0.00672453703703704</v>
                </pt>
                <pt idx="557">
                  <v>0.00673611111111111</v>
                </pt>
                <pt idx="558">
                  <v>0.00674768518518519</v>
                </pt>
                <pt idx="559">
                  <v>0.00675925925925926</v>
                </pt>
                <pt idx="560">
                  <v>0.00677083333333333</v>
                </pt>
                <pt idx="561">
                  <v>0.00678240740740741</v>
                </pt>
                <pt idx="562">
                  <v>0.00679398148148148</v>
                </pt>
                <pt idx="563">
                  <v>0.00680555555555556</v>
                </pt>
                <pt idx="564">
                  <v>0.00681712962962963</v>
                </pt>
                <pt idx="565">
                  <v>0.0068287037037037</v>
                </pt>
                <pt idx="566">
                  <v>0.00684027777777778</v>
                </pt>
                <pt idx="567">
                  <v>0.00685185185185185</v>
                </pt>
                <pt idx="568">
                  <v>0.00686342592592593</v>
                </pt>
                <pt idx="569">
                  <v>0.006875</v>
                </pt>
                <pt idx="570">
                  <v>0.00688657407407407</v>
                </pt>
                <pt idx="571">
                  <v>0.00689814814814815</v>
                </pt>
                <pt idx="572">
                  <v>0.00690972222222222</v>
                </pt>
                <pt idx="573">
                  <v>0.0069212962962963</v>
                </pt>
                <pt idx="574">
                  <v>0.00693287037037037</v>
                </pt>
                <pt idx="575">
                  <v>0.00694444444444444</v>
                </pt>
                <pt idx="576">
                  <v>0.00695601851851852</v>
                </pt>
                <pt idx="577">
                  <v>0.00696759259259259</v>
                </pt>
                <pt idx="578">
                  <v>0.00697916666666667</v>
                </pt>
                <pt idx="579">
                  <v>0.00699074074074074</v>
                </pt>
                <pt idx="580">
                  <v>0.00700231481481482</v>
                </pt>
                <pt idx="581">
                  <v>0.00701388888888889</v>
                </pt>
                <pt idx="582">
                  <v>0.00702546296296296</v>
                </pt>
                <pt idx="583">
                  <v>0.00703703703703704</v>
                </pt>
                <pt idx="584">
                  <v>0.00704861111111111</v>
                </pt>
                <pt idx="585">
                  <v>0.00706018518518518</v>
                </pt>
                <pt idx="586">
                  <v>0.00707175925925926</v>
                </pt>
                <pt idx="587">
                  <v>0.00708333333333333</v>
                </pt>
                <pt idx="588">
                  <v>0.00709490740740741</v>
                </pt>
                <pt idx="589">
                  <v>0.00710648148148148</v>
                </pt>
                <pt idx="590">
                  <v>0.00711805555555556</v>
                </pt>
                <pt idx="591">
                  <v>0.00712962962962963</v>
                </pt>
                <pt idx="592">
                  <v>0.0071412037037037</v>
                </pt>
                <pt idx="593">
                  <v>0.00715277777777778</v>
                </pt>
                <pt idx="594">
                  <v>0.00716435185185185</v>
                </pt>
                <pt idx="595">
                  <v>0.00717592592592593</v>
                </pt>
                <pt idx="596">
                  <v>0.0071875</v>
                </pt>
                <pt idx="597">
                  <v>0.00719907407407407</v>
                </pt>
                <pt idx="598">
                  <v>0.00721064814814815</v>
                </pt>
                <pt idx="599">
                  <v>0.00722222222222222</v>
                </pt>
                <pt idx="600">
                  <v>0.0072337962962963</v>
                </pt>
                <pt idx="601">
                  <v>0.00724537037037037</v>
                </pt>
                <pt idx="602">
                  <v>0.00725694444444444</v>
                </pt>
                <pt idx="603">
                  <v>0.00726851851851852</v>
                </pt>
                <pt idx="604">
                  <v>0.00728009259259259</v>
                </pt>
                <pt idx="605">
                  <v>0.00729166666666667</v>
                </pt>
                <pt idx="606">
                  <v>0.00730324074074074</v>
                </pt>
                <pt idx="607">
                  <v>0.00731481481481481</v>
                </pt>
                <pt idx="608">
                  <v>0.00732638888888889</v>
                </pt>
                <pt idx="609">
                  <v>0.00733796296296296</v>
                </pt>
                <pt idx="610">
                  <v>0.00734953703703704</v>
                </pt>
                <pt idx="611">
                  <v>0.00736111111111111</v>
                </pt>
                <pt idx="612">
                  <v>0.00737268518518519</v>
                </pt>
                <pt idx="613">
                  <v>0.00738425925925926</v>
                </pt>
                <pt idx="614">
                  <v>0.00739583333333333</v>
                </pt>
                <pt idx="615">
                  <v>0.00740740740740741</v>
                </pt>
                <pt idx="616">
                  <v>0.00741898148148148</v>
                </pt>
                <pt idx="617">
                  <v>0.00743055555555556</v>
                </pt>
                <pt idx="618">
                  <v>0.00744212962962963</v>
                </pt>
                <pt idx="619">
                  <v>0.0074537037037037</v>
                </pt>
                <pt idx="620">
                  <v>0.00746527777777778</v>
                </pt>
                <pt idx="621">
                  <v>0.00747685185185185</v>
                </pt>
                <pt idx="622">
                  <v>0.00748842592592593</v>
                </pt>
                <pt idx="623">
                  <v>0.0075</v>
                </pt>
                <pt idx="624">
                  <v>0.00751157407407407</v>
                </pt>
                <pt idx="625">
                  <v>0.00752314814814815</v>
                </pt>
                <pt idx="626">
                  <v>0.00753472222222222</v>
                </pt>
                <pt idx="627">
                  <v>0.0075462962962963</v>
                </pt>
                <pt idx="628">
                  <v>0.00755787037037037</v>
                </pt>
                <pt idx="629">
                  <v>0.00756944444444444</v>
                </pt>
                <pt idx="630">
                  <v>0.00758101851851852</v>
                </pt>
                <pt idx="631">
                  <v>0.00759259259259259</v>
                </pt>
                <pt idx="632">
                  <v>0.00760416666666667</v>
                </pt>
                <pt idx="633">
                  <v>0.00761574074074074</v>
                </pt>
                <pt idx="634">
                  <v>0.00762731481481482</v>
                </pt>
                <pt idx="635">
                  <v>0.00763888888888889</v>
                </pt>
                <pt idx="636">
                  <v>0.00765046296296296</v>
                </pt>
                <pt idx="637">
                  <v>0.00766203703703704</v>
                </pt>
                <pt idx="638">
                  <v>0.00767361111111111</v>
                </pt>
                <pt idx="639">
                  <v>0.00768518518518519</v>
                </pt>
                <pt idx="640">
                  <v>0.00769675925925926</v>
                </pt>
                <pt idx="641">
                  <v>0.00770833333333333</v>
                </pt>
                <pt idx="642">
                  <v>0.00771990740740741</v>
                </pt>
                <pt idx="643">
                  <v>0.00773148148148148</v>
                </pt>
                <pt idx="644">
                  <v>0.00774305555555556</v>
                </pt>
                <pt idx="645">
                  <v>0.00775462962962963</v>
                </pt>
                <pt idx="646">
                  <v>0.0077662037037037</v>
                </pt>
                <pt idx="647">
                  <v>0.00777777777777778</v>
                </pt>
                <pt idx="648">
                  <v>0.00778935185185185</v>
                </pt>
                <pt idx="649">
                  <v>0.00780092592592593</v>
                </pt>
                <pt idx="650">
                  <v>0.0078125</v>
                </pt>
                <pt idx="651">
                  <v>0.00782407407407407</v>
                </pt>
                <pt idx="652">
                  <v>0.007835648148148151</v>
                </pt>
                <pt idx="653">
                  <v>0.007847222222222221</v>
                </pt>
                <pt idx="654">
                  <v>0.007858796296296299</v>
                </pt>
                <pt idx="655">
                  <v>0.00787037037037037</v>
                </pt>
                <pt idx="656">
                  <v>0.00788194444444444</v>
                </pt>
                <pt idx="657">
                  <v>0.00789351851851852</v>
                </pt>
                <pt idx="658">
                  <v>0.00790509259259259</v>
                </pt>
                <pt idx="659">
                  <v>0.007916666666666671</v>
                </pt>
                <pt idx="660">
                  <v>0.007928240740740739</v>
                </pt>
                <pt idx="661">
                  <v>0.007939814814814809</v>
                </pt>
                <pt idx="662">
                  <v>0.00795138888888889</v>
                </pt>
                <pt idx="663">
                  <v>0.00796296296296296</v>
                </pt>
                <pt idx="664">
                  <v>0.00797453703703704</v>
                </pt>
                <pt idx="665">
                  <v>0.00798611111111111</v>
                </pt>
                <pt idx="666">
                  <v>0.007997685185185189</v>
                </pt>
                <pt idx="667">
                  <v>0.008009259259259259</v>
                </pt>
                <pt idx="668">
                  <v>0.008020833333333329</v>
                </pt>
                <pt idx="669">
                  <v>0.00803240740740741</v>
                </pt>
                <pt idx="670">
                  <v>0.00804398148148148</v>
                </pt>
                <pt idx="671">
                  <v>0.008055555555555561</v>
                </pt>
                <pt idx="672">
                  <v>0.008067129629629631</v>
                </pt>
                <pt idx="673">
                  <v>0.008078703703703701</v>
                </pt>
                <pt idx="674">
                  <v>0.00809027777777778</v>
                </pt>
                <pt idx="675">
                  <v>0.00810185185185185</v>
                </pt>
                <pt idx="676">
                  <v>0.00811342592592593</v>
                </pt>
                <pt idx="677">
                  <v>0.008125</v>
                </pt>
                <pt idx="678">
                  <v>0.00813657407407407</v>
                </pt>
                <pt idx="679">
                  <v>0.008148148148148149</v>
                </pt>
                <pt idx="680">
                  <v>0.008159722222222219</v>
                </pt>
                <pt idx="681">
                  <v>0.0081712962962963</v>
                </pt>
                <pt idx="682">
                  <v>0.00818287037037037</v>
                </pt>
                <pt idx="683">
                  <v>0.00819444444444445</v>
                </pt>
                <pt idx="684">
                  <v>0.00820601851851852</v>
                </pt>
                <pt idx="685">
                  <v>0.008217592592592591</v>
                </pt>
                <pt idx="686">
                  <v>0.008229166666666669</v>
                </pt>
                <pt idx="687">
                  <v>0.008240740740740739</v>
                </pt>
                <pt idx="688">
                  <v>0.00825231481481481</v>
                </pt>
                <pt idx="689">
                  <v>0.00826388888888889</v>
                </pt>
                <pt idx="690">
                  <v>0.00827546296296296</v>
                </pt>
                <pt idx="691">
                  <v>0.008287037037037041</v>
                </pt>
                <pt idx="692">
                  <v>0.008298611111111111</v>
                </pt>
                <pt idx="693">
                  <v>0.008310185185185179</v>
                </pt>
                <pt idx="694">
                  <v>0.00832175925925926</v>
                </pt>
                <pt idx="695">
                  <v>0.00833333333333333</v>
                </pt>
                <pt idx="696">
                  <v>0.00834490740740741</v>
                </pt>
                <pt idx="697">
                  <v>0.00835648148148148</v>
                </pt>
                <pt idx="698">
                  <v>0.008368055555555559</v>
                </pt>
                <pt idx="699">
                  <v>0.008379629629629629</v>
                </pt>
                <pt idx="700">
                  <v>0.008391203703703699</v>
                </pt>
                <pt idx="701">
                  <v>0.00840277777777778</v>
                </pt>
                <pt idx="702">
                  <v>0.00841435185185185</v>
                </pt>
                <pt idx="703">
                  <v>0.00842592592592593</v>
                </pt>
                <pt idx="704">
                  <v>0.008437500000000001</v>
                </pt>
                <pt idx="705">
                  <v>0.008449074074074071</v>
                </pt>
                <pt idx="706">
                  <v>0.008460648148148149</v>
                </pt>
                <pt idx="707">
                  <v>0.00847222222222222</v>
                </pt>
                <pt idx="708">
                  <v>0.0084837962962963</v>
                </pt>
                <pt idx="709">
                  <v>0.00849537037037037</v>
                </pt>
                <pt idx="710">
                  <v>0.00850694444444444</v>
                </pt>
                <pt idx="711">
                  <v>0.008518518518518521</v>
                </pt>
                <pt idx="712">
                  <v>0.008530092592592591</v>
                </pt>
                <pt idx="713">
                  <v>0.00854166666666667</v>
                </pt>
                <pt idx="714">
                  <v>0.00855324074074074</v>
                </pt>
                <pt idx="715">
                  <v>0.00856481481481482</v>
                </pt>
                <pt idx="716">
                  <v>0.00857638888888889</v>
                </pt>
                <pt idx="717">
                  <v>0.00858796296296296</v>
                </pt>
                <pt idx="718">
                  <v>0.008599537037037039</v>
                </pt>
                <pt idx="719">
                  <v>0.008611111111111109</v>
                </pt>
                <pt idx="720">
                  <v>0.008622685185185179</v>
                </pt>
                <pt idx="721">
                  <v>0.00863425925925926</v>
                </pt>
                <pt idx="722">
                  <v>0.00864583333333333</v>
                </pt>
                <pt idx="723">
                  <v>0.008657407407407411</v>
                </pt>
                <pt idx="724">
                  <v>0.008668981481481481</v>
                </pt>
                <pt idx="725">
                  <v>0.008680555555555559</v>
                </pt>
                <pt idx="726">
                  <v>0.00869212962962963</v>
                </pt>
                <pt idx="727">
                  <v>0.0087037037037037</v>
                </pt>
                <pt idx="728">
                  <v>0.00871527777777778</v>
                </pt>
                <pt idx="729">
                  <v>0.00872685185185185</v>
                </pt>
                <pt idx="730">
                  <v>0.008738425925925931</v>
                </pt>
                <pt idx="731">
                  <v>0.008750000000000001</v>
                </pt>
                <pt idx="732">
                  <v>0.008761574074074069</v>
                </pt>
                <pt idx="733">
                  <v>0.00877314814814815</v>
                </pt>
                <pt idx="734">
                  <v>0.00878472222222222</v>
                </pt>
                <pt idx="735">
                  <v>0.0087962962962963</v>
                </pt>
                <pt idx="736">
                  <v>0.00880787037037037</v>
                </pt>
                <pt idx="737">
                  <v>0.008819444444444441</v>
                </pt>
                <pt idx="738">
                  <v>0.008831018518518519</v>
                </pt>
                <pt idx="739">
                  <v>0.008842592592592589</v>
                </pt>
                <pt idx="740">
                  <v>0.00885416666666667</v>
                </pt>
                <pt idx="741">
                  <v>0.00886574074074074</v>
                </pt>
                <pt idx="742">
                  <v>0.008877314814814821</v>
                </pt>
                <pt idx="743">
                  <v>0.008888888888888891</v>
                </pt>
                <pt idx="744">
                  <v>0.008900462962962961</v>
                </pt>
                <pt idx="745">
                  <v>0.008912037037037039</v>
                </pt>
                <pt idx="746">
                  <v>0.00892361111111111</v>
                </pt>
                <pt idx="747">
                  <v>0.00893518518518518</v>
                </pt>
                <pt idx="748">
                  <v>0.00894675925925926</v>
                </pt>
                <pt idx="749">
                  <v>0.00895833333333333</v>
                </pt>
                <pt idx="750">
                  <v>0.008969907407407411</v>
                </pt>
                <pt idx="751">
                  <v>0.008981481481481479</v>
                </pt>
                <pt idx="752">
                  <v>0.00899305555555556</v>
                </pt>
                <pt idx="753">
                  <v>0.00900462962962963</v>
                </pt>
                <pt idx="754">
                  <v>0.0090162037037037</v>
                </pt>
                <pt idx="755">
                  <v>0.00902777777777778</v>
                </pt>
                <pt idx="756">
                  <v>0.009039351851851851</v>
                </pt>
                <pt idx="757">
                  <v>0.009050925925925929</v>
                </pt>
                <pt idx="758">
                  <v>0.009062499999999999</v>
                </pt>
                <pt idx="759">
                  <v>0.009074074074074069</v>
                </pt>
                <pt idx="760">
                  <v>0.00908564814814815</v>
                </pt>
                <pt idx="761">
                  <v>0.00909722222222222</v>
                </pt>
                <pt idx="762">
                  <v>0.009108796296296301</v>
                </pt>
                <pt idx="763">
                  <v>0.009120370370370371</v>
                </pt>
                <pt idx="764">
                  <v>0.009131944444444441</v>
                </pt>
                <pt idx="765">
                  <v>0.00914351851851852</v>
                </pt>
                <pt idx="766">
                  <v>0.00915509259259259</v>
                </pt>
                <pt idx="767">
                  <v>0.00916666666666667</v>
                </pt>
                <pt idx="768">
                  <v>0.00917824074074074</v>
                </pt>
                <pt idx="769">
                  <v>0.009189814814814821</v>
                </pt>
                <pt idx="770">
                  <v>0.009201388888888889</v>
                </pt>
                <pt idx="771">
                  <v>0.009212962962962959</v>
                </pt>
                <pt idx="772">
                  <v>0.00922453703703704</v>
                </pt>
                <pt idx="773">
                  <v>0.00923611111111111</v>
                </pt>
                <pt idx="774">
                  <v>0.00924768518518519</v>
                </pt>
                <pt idx="775">
                  <v>0.00925925925925926</v>
                </pt>
                <pt idx="776">
                  <v>0.009270833333333331</v>
                </pt>
                <pt idx="777">
                  <v>0.009282407407407409</v>
                </pt>
                <pt idx="778">
                  <v>0.009293981481481479</v>
                </pt>
                <pt idx="779">
                  <v>0.00930555555555555</v>
                </pt>
                <pt idx="780">
                  <v>0.00931712962962963</v>
                </pt>
                <pt idx="781">
                  <v>0.0093287037037037</v>
                </pt>
                <pt idx="782">
                  <v>0.009340277777777781</v>
                </pt>
                <pt idx="783">
                  <v>0.009351851851851851</v>
                </pt>
                <pt idx="784">
                  <v>0.00936342592592593</v>
                </pt>
                <pt idx="785">
                  <v>0.009375</v>
                </pt>
                <pt idx="786">
                  <v>0.00938657407407407</v>
                </pt>
                <pt idx="787">
                  <v>0.00939814814814815</v>
                </pt>
                <pt idx="788">
                  <v>0.00940972222222222</v>
                </pt>
                <pt idx="789">
                  <v>0.009421296296296299</v>
                </pt>
                <pt idx="790">
                  <v>0.009432870370370369</v>
                </pt>
                <pt idx="791">
                  <v>0.009444444444444439</v>
                </pt>
                <pt idx="792">
                  <v>0.00945601851851852</v>
                </pt>
                <pt idx="793">
                  <v>0.00946759259259259</v>
                </pt>
                <pt idx="794">
                  <v>0.00947916666666667</v>
                </pt>
                <pt idx="795">
                  <v>0.009490740740740741</v>
                </pt>
                <pt idx="796">
                  <v>0.009502314814814811</v>
                </pt>
                <pt idx="797">
                  <v>0.009513888888888889</v>
                </pt>
                <pt idx="798">
                  <v>0.00952546296296296</v>
                </pt>
                <pt idx="799">
                  <v>0.00953703703703704</v>
                </pt>
                <pt idx="800">
                  <v>0.00954861111111111</v>
                </pt>
                <pt idx="801">
                  <v>0.009560185185185191</v>
                </pt>
                <pt idx="802">
                  <v>0.009571759259259261</v>
                </pt>
                <pt idx="803">
                  <v>0.009583333333333331</v>
                </pt>
                <pt idx="804">
                  <v>0.00959490740740741</v>
                </pt>
                <pt idx="805">
                  <v>0.00960648148148148</v>
                </pt>
                <pt idx="806">
                  <v>0.00961805555555556</v>
                </pt>
                <pt idx="807">
                  <v>0.00962962962962963</v>
                </pt>
                <pt idx="808">
                  <v>0.0096412037037037</v>
                </pt>
                <pt idx="809">
                  <v>0.009652777777777779</v>
                </pt>
                <pt idx="810">
                  <v>0.009664351851851849</v>
                </pt>
                <pt idx="811">
                  <v>0.00967592592592593</v>
                </pt>
                <pt idx="812">
                  <v>0.0096875</v>
                </pt>
                <pt idx="813">
                  <v>0.00969907407407407</v>
                </pt>
                <pt idx="814">
                  <v>0.009710648148148151</v>
                </pt>
                <pt idx="815">
                  <v>0.009722222222222221</v>
                </pt>
                <pt idx="816">
                  <v>0.009733796296296299</v>
                </pt>
                <pt idx="817">
                  <v>0.00974537037037037</v>
                </pt>
                <pt idx="818">
                  <v>0.00975694444444444</v>
                </pt>
                <pt idx="819">
                  <v>0.00976851851851852</v>
                </pt>
                <pt idx="820">
                  <v>0.00978009259259259</v>
                </pt>
                <pt idx="821">
                  <v>0.009791666666666671</v>
                </pt>
                <pt idx="822">
                  <v>0.009803240740740741</v>
                </pt>
                <pt idx="823">
                  <v>0.009814814814814809</v>
                </pt>
                <pt idx="824">
                  <v>0.00982638888888889</v>
                </pt>
                <pt idx="825">
                  <v>0.00983796296296296</v>
                </pt>
                <pt idx="826">
                  <v>0.00984953703703704</v>
                </pt>
                <pt idx="827">
                  <v>0.00986111111111111</v>
                </pt>
                <pt idx="828">
                  <v>0.009872685185185189</v>
                </pt>
                <pt idx="829">
                  <v>0.009884259259259259</v>
                </pt>
                <pt idx="830">
                  <v>0.009895833333333329</v>
                </pt>
                <pt idx="831">
                  <v>0.00990740740740741</v>
                </pt>
                <pt idx="832">
                  <v>0.00991898148148148</v>
                </pt>
                <pt idx="833">
                  <v>0.009930555555555561</v>
                </pt>
                <pt idx="834">
                  <v>0.009942129629629631</v>
                </pt>
                <pt idx="835">
                  <v>0.009953703703703701</v>
                </pt>
                <pt idx="836">
                  <v>0.009965277777777779</v>
                </pt>
                <pt idx="837">
                  <v>0.00997685185185185</v>
                </pt>
                <pt idx="838">
                  <v>0.00998842592592593</v>
                </pt>
                <pt idx="839">
                  <v>0.01</v>
                </pt>
                <pt idx="840">
                  <v>0.0100115740740741</v>
                </pt>
                <pt idx="841">
                  <v>0.0100231481481482</v>
                </pt>
                <pt idx="842">
                  <v>0.0100347222222222</v>
                </pt>
                <pt idx="843">
                  <v>0.0100462962962963</v>
                </pt>
                <pt idx="844">
                  <v>0.0100578703703704</v>
                </pt>
                <pt idx="845">
                  <v>0.0100694444444445</v>
                </pt>
                <pt idx="846">
                  <v>0.0100810185185185</v>
                </pt>
                <pt idx="847">
                  <v>0.0100925925925926</v>
                </pt>
                <pt idx="848">
                  <v>0.0101041666666667</v>
                </pt>
                <pt idx="849">
                  <v>0.0101157407407407</v>
                </pt>
                <pt idx="850">
                  <v>0.0101273148148148</v>
                </pt>
                <pt idx="851">
                  <v>0.0101388888888889</v>
                </pt>
                <pt idx="852">
                  <v>0.010150462962963</v>
                </pt>
                <pt idx="853">
                  <v>0.010162037037037</v>
                </pt>
                <pt idx="854">
                  <v>0.0101736111111111</v>
                </pt>
                <pt idx="855">
                  <v>0.0101851851851852</v>
                </pt>
                <pt idx="856">
                  <v>0.0101967592592593</v>
                </pt>
                <pt idx="857">
                  <v>0.0102083333333333</v>
                </pt>
                <pt idx="858">
                  <v>0.0102199074074074</v>
                </pt>
                <pt idx="859">
                  <v>0.0102314814814815</v>
                </pt>
                <pt idx="860">
                  <v>0.0102430555555556</v>
                </pt>
                <pt idx="861">
                  <v>0.0102546296296296</v>
                </pt>
                <pt idx="862">
                  <v>0.0102662037037037</v>
                </pt>
                <pt idx="863">
                  <v>0.0102777777777778</v>
                </pt>
                <pt idx="864">
                  <v>0.0102893518518518</v>
                </pt>
                <pt idx="865">
                  <v>0.0103009259259259</v>
                </pt>
                <pt idx="866">
                  <v>0.0103125</v>
                </pt>
                <pt idx="867">
                  <v>0.0103240740740741</v>
                </pt>
                <pt idx="868">
                  <v>0.0103356481481481</v>
                </pt>
                <pt idx="869">
                  <v>0.0103472222222222</v>
                </pt>
                <pt idx="870">
                  <v>0.0103587962962963</v>
                </pt>
                <pt idx="871">
                  <v>0.0103703703703704</v>
                </pt>
                <pt idx="872">
                  <v>0.0103819444444444</v>
                </pt>
                <pt idx="873">
                  <v>0.0103935185185185</v>
                </pt>
                <pt idx="874">
                  <v>0.0104050925925926</v>
                </pt>
                <pt idx="875">
                  <v>0.0104166666666667</v>
                </pt>
                <pt idx="876">
                  <v>0.0104282407407407</v>
                </pt>
                <pt idx="877">
                  <v>0.0104398148148148</v>
                </pt>
                <pt idx="878">
                  <v>0.0104513888888889</v>
                </pt>
                <pt idx="879">
                  <v>0.010462962962963</v>
                </pt>
                <pt idx="880">
                  <v>0.010474537037037</v>
                </pt>
                <pt idx="881">
                  <v>0.0104861111111111</v>
                </pt>
                <pt idx="882">
                  <v>0.0104976851851852</v>
                </pt>
                <pt idx="883">
                  <v>0.0105092592592593</v>
                </pt>
                <pt idx="884">
                  <v>0.0105208333333333</v>
                </pt>
                <pt idx="885">
                  <v>0.0105324074074074</v>
                </pt>
                <pt idx="886">
                  <v>0.0105439814814815</v>
                </pt>
                <pt idx="887">
                  <v>0.0105555555555556</v>
                </pt>
                <pt idx="888">
                  <v>0.0105671296296296</v>
                </pt>
                <pt idx="889">
                  <v>0.0105787037037037</v>
                </pt>
                <pt idx="890">
                  <v>0.0105902777777778</v>
                </pt>
                <pt idx="891">
                  <v>0.0106018518518519</v>
                </pt>
                <pt idx="892">
                  <v>0.0106134259259259</v>
                </pt>
                <pt idx="893">
                  <v>0.010625</v>
                </pt>
                <pt idx="894">
                  <v>0.0106365740740741</v>
                </pt>
                <pt idx="895">
                  <v>0.0106481481481481</v>
                </pt>
                <pt idx="896">
                  <v>0.0106597222222222</v>
                </pt>
                <pt idx="897">
                  <v>0.0106712962962963</v>
                </pt>
                <pt idx="898">
                  <v>0.0106828703703704</v>
                </pt>
                <pt idx="899">
                  <v>0.0106944444444444</v>
                </pt>
                <pt idx="900">
                  <v>0.0107060185185185</v>
                </pt>
                <pt idx="901">
                  <v>0.0107175925925926</v>
                </pt>
                <pt idx="902">
                  <v>0.0107291666666667</v>
                </pt>
                <pt idx="903">
                  <v>0.0107407407407407</v>
                </pt>
                <pt idx="904">
                  <v>0.0107523148148148</v>
                </pt>
                <pt idx="905">
                  <v>0.0107638888888889</v>
                </pt>
                <pt idx="906">
                  <v>0.010775462962963</v>
                </pt>
                <pt idx="907">
                  <v>0.010787037037037</v>
                </pt>
                <pt idx="908">
                  <v>0.0107986111111111</v>
                </pt>
                <pt idx="909">
                  <v>0.0108101851851852</v>
                </pt>
                <pt idx="910">
                  <v>0.0108217592592593</v>
                </pt>
                <pt idx="911">
                  <v>0.0108333333333333</v>
                </pt>
                <pt idx="912">
                  <v>0.0108449074074074</v>
                </pt>
                <pt idx="913">
                  <v>0.0108564814814815</v>
                </pt>
                <pt idx="914">
                  <v>0.0108680555555556</v>
                </pt>
                <pt idx="915">
                  <v>0.0108796296296296</v>
                </pt>
                <pt idx="916">
                  <v>0.0108912037037037</v>
                </pt>
                <pt idx="917">
                  <v>0.0109027777777778</v>
                </pt>
                <pt idx="918">
                  <v>0.0109143518518519</v>
                </pt>
                <pt idx="919">
                  <v>0.0109259259259259</v>
                </pt>
                <pt idx="920">
                  <v>0.0109375</v>
                </pt>
                <pt idx="921">
                  <v>0.0109490740740741</v>
                </pt>
                <pt idx="922">
                  <v>0.0109606481481481</v>
                </pt>
                <pt idx="923">
                  <v>0.0109722222222222</v>
                </pt>
                <pt idx="924">
                  <v>0.0109837962962963</v>
                </pt>
                <pt idx="925">
                  <v>0.0109953703703704</v>
                </pt>
                <pt idx="926">
                  <v>0.0110069444444444</v>
                </pt>
                <pt idx="927">
                  <v>0.0110185185185185</v>
                </pt>
                <pt idx="928">
                  <v>0.0110300925925926</v>
                </pt>
                <pt idx="929">
                  <v>0.0110416666666667</v>
                </pt>
                <pt idx="930">
                  <v>0.0110532407407407</v>
                </pt>
                <pt idx="931">
                  <v>0.0110648148148148</v>
                </pt>
                <pt idx="932">
                  <v>0.0110763888888889</v>
                </pt>
                <pt idx="933">
                  <v>0.011087962962963</v>
                </pt>
                <pt idx="934">
                  <v>0.011099537037037</v>
                </pt>
                <pt idx="935">
                  <v>0.0111111111111111</v>
                </pt>
                <pt idx="936">
                  <v>0.0111226851851852</v>
                </pt>
                <pt idx="937">
                  <v>0.0111342592592593</v>
                </pt>
                <pt idx="938">
                  <v>0.0111458333333333</v>
                </pt>
                <pt idx="939">
                  <v>0.0111574074074074</v>
                </pt>
                <pt idx="940">
                  <v>0.0111689814814815</v>
                </pt>
                <pt idx="941">
                  <v>0.0111805555555555</v>
                </pt>
              </numCache>
            </numRef>
          </xVal>
          <yVal>
            <numRef>
              <f>'8. Winding Heating'!$L$37:$L$978</f>
              <numCache>
                <formatCode>General</formatCode>
                <ptCount val="942"/>
              </numCache>
            </numRef>
          </yVal>
          <smooth val="0"/>
        </ser>
        <ser>
          <idx val="1"/>
          <order val="1"/>
          <tx>
            <strRef>
              <f>'8. Winding Heating'!$M$9</f>
              <strCache>
                <ptCount val="1"/>
                <pt idx="0">
                  <v>MA_RTD2</v>
                </pt>
              </strCache>
            </strRef>
          </tx>
          <spPr>
            <a:ln xmlns:a="http://schemas.openxmlformats.org/drawingml/2006/main" algn="ctr" cap="rnd" cmpd="sng" w="28575">
              <a:solidFill>
                <a:schemeClr val="accent2">
                  <a:shade val="95000"/>
                  <a:satMod val="105000"/>
                </a:schemeClr>
              </a:solidFill>
              <a:prstDash val="solid"/>
              <a:round/>
            </a:ln>
          </spPr>
          <marker>
            <symbol val="none"/>
            <spPr>
              <a:ln xmlns:a="http://schemas.openxmlformats.org/drawingml/2006/main">
                <a:prstDash val="solid"/>
              </a:ln>
            </spPr>
          </marker>
          <dLbls>
            <delete val="1"/>
          </dLbls>
          <xVal>
            <numRef>
              <f>'8. Winding Heating'!$K$37:$K$978</f>
              <numCache>
                <formatCode>h:mm:ss.0</formatCode>
                <ptCount val="942"/>
                <pt idx="0">
                  <v>0.000289351851851852</v>
                </pt>
                <pt idx="1">
                  <v>0.000300925925925926</v>
                </pt>
                <pt idx="2">
                  <v>0.0003125</v>
                </pt>
                <pt idx="3">
                  <v>0.000324074074074074</v>
                </pt>
                <pt idx="4">
                  <v>0.000335648148148148</v>
                </pt>
                <pt idx="5">
                  <v>0.000347222222222222</v>
                </pt>
                <pt idx="6">
                  <v>0.000358796296296296</v>
                </pt>
                <pt idx="7">
                  <v>0.00037037037037037</v>
                </pt>
                <pt idx="8">
                  <v>0.000381944444444445</v>
                </pt>
                <pt idx="9">
                  <v>0.000393518518518519</v>
                </pt>
                <pt idx="10">
                  <v>0.000405092592592593</v>
                </pt>
                <pt idx="11">
                  <v>0.000416666666666667</v>
                </pt>
                <pt idx="12">
                  <v>0.000428240740740741</v>
                </pt>
                <pt idx="13">
                  <v>0.000439814814814815</v>
                </pt>
                <pt idx="14">
                  <v>0.000451388888888889</v>
                </pt>
                <pt idx="15">
                  <v>0.000462962962962963</v>
                </pt>
                <pt idx="16">
                  <v>0.000474537037037037</v>
                </pt>
                <pt idx="17">
                  <v>0.000486111111111111</v>
                </pt>
                <pt idx="18">
                  <v>0.000497685185185185</v>
                </pt>
                <pt idx="19">
                  <v>0.000509259259259259</v>
                </pt>
                <pt idx="20">
                  <v>0.000520833333333333</v>
                </pt>
                <pt idx="21">
                  <v>0.000532407407407407</v>
                </pt>
                <pt idx="22">
                  <v>0.000543981481481481</v>
                </pt>
                <pt idx="23">
                  <v>0.000555555555555556</v>
                </pt>
                <pt idx="24">
                  <v>0.00056712962962963</v>
                </pt>
                <pt idx="25">
                  <v>0.000578703703703704</v>
                </pt>
                <pt idx="26">
                  <v>0.000590277777777778</v>
                </pt>
                <pt idx="27">
                  <v>0.000601851851851852</v>
                </pt>
                <pt idx="28">
                  <v>0.000613425925925926</v>
                </pt>
                <pt idx="29">
                  <v>0.000625</v>
                </pt>
                <pt idx="30">
                  <v>0.000636574074074074</v>
                </pt>
                <pt idx="31">
                  <v>0.000648148148148148</v>
                </pt>
                <pt idx="32">
                  <v>0.000659722222222222</v>
                </pt>
                <pt idx="33">
                  <v>0.000671296296296296</v>
                </pt>
                <pt idx="34">
                  <v>0.00068287037037037</v>
                </pt>
                <pt idx="35">
                  <v>0.000694444444444444</v>
                </pt>
                <pt idx="36">
                  <v>0.000706018518518518</v>
                </pt>
                <pt idx="37">
                  <v>0.000717592592592593</v>
                </pt>
                <pt idx="38">
                  <v>0.000729166666666667</v>
                </pt>
                <pt idx="39">
                  <v>0.000740740740740741</v>
                </pt>
                <pt idx="40">
                  <v>0.000752314814814815</v>
                </pt>
                <pt idx="41">
                  <v>0.000763888888888889</v>
                </pt>
                <pt idx="42">
                  <v>0.000775462962962963</v>
                </pt>
                <pt idx="43">
                  <v>0.000787037037037037</v>
                </pt>
                <pt idx="44">
                  <v>0.000798611111111111</v>
                </pt>
                <pt idx="45">
                  <v>0.0008101851851851851</v>
                </pt>
                <pt idx="46">
                  <v>0.0008217592592592589</v>
                </pt>
                <pt idx="47">
                  <v>0.000833333333333333</v>
                </pt>
                <pt idx="48">
                  <v>0.000844907407407407</v>
                </pt>
                <pt idx="49">
                  <v>0.000856481481481482</v>
                </pt>
                <pt idx="50">
                  <v>0.000868055555555556</v>
                </pt>
                <pt idx="51">
                  <v>0.0008796296296296301</v>
                </pt>
                <pt idx="52">
                  <v>0.0008912037037037039</v>
                </pt>
                <pt idx="53">
                  <v>0.000902777777777778</v>
                </pt>
                <pt idx="54">
                  <v>0.000914351851851852</v>
                </pt>
                <pt idx="55">
                  <v>0.000925925925925926</v>
                </pt>
                <pt idx="56">
                  <v>0.0009375</v>
                </pt>
                <pt idx="57">
                  <v>0.000949074074074074</v>
                </pt>
                <pt idx="58">
                  <v>0.000960648148148148</v>
                </pt>
                <pt idx="59">
                  <v>0.000972222222222222</v>
                </pt>
                <pt idx="60">
                  <v>0.000983796296296296</v>
                </pt>
                <pt idx="61">
                  <v>0.00099537037037037</v>
                </pt>
                <pt idx="62">
                  <v>0.00100694444444444</v>
                </pt>
                <pt idx="63">
                  <v>0.00101851851851852</v>
                </pt>
                <pt idx="64">
                  <v>0.00103009259259259</v>
                </pt>
                <pt idx="65">
                  <v>0.00104166666666667</v>
                </pt>
                <pt idx="66">
                  <v>0.00105324074074074</v>
                </pt>
                <pt idx="67">
                  <v>0.00106481481481482</v>
                </pt>
                <pt idx="68">
                  <v>0.00107638888888889</v>
                </pt>
                <pt idx="69">
                  <v>0.00108796296296296</v>
                </pt>
                <pt idx="70">
                  <v>0.00109953703703704</v>
                </pt>
                <pt idx="71">
                  <v>0.00111111111111111</v>
                </pt>
                <pt idx="72">
                  <v>0.00112268518518518</v>
                </pt>
                <pt idx="73">
                  <v>0.00113425925925926</v>
                </pt>
                <pt idx="74">
                  <v>0.00114583333333333</v>
                </pt>
                <pt idx="75">
                  <v>0.00115740740740741</v>
                </pt>
                <pt idx="76">
                  <v>0.00116898148148148</v>
                </pt>
                <pt idx="77">
                  <v>0.00118055555555556</v>
                </pt>
                <pt idx="78">
                  <v>0.00119212962962963</v>
                </pt>
                <pt idx="79">
                  <v>0.0012037037037037</v>
                </pt>
                <pt idx="80">
                  <v>0.00121527777777778</v>
                </pt>
                <pt idx="81">
                  <v>0.00122685185185185</v>
                </pt>
                <pt idx="82">
                  <v>0.00123842592592593</v>
                </pt>
                <pt idx="83">
                  <v>0.00125</v>
                </pt>
                <pt idx="84">
                  <v>0.00126157407407407</v>
                </pt>
                <pt idx="85">
                  <v>0.00127314814814815</v>
                </pt>
                <pt idx="86">
                  <v>0.00128472222222222</v>
                </pt>
                <pt idx="87">
                  <v>0.0012962962962963</v>
                </pt>
                <pt idx="88">
                  <v>0.00130787037037037</v>
                </pt>
                <pt idx="89">
                  <v>0.00131944444444444</v>
                </pt>
                <pt idx="90">
                  <v>0.00133101851851852</v>
                </pt>
                <pt idx="91">
                  <v>0.00134259259259259</v>
                </pt>
                <pt idx="92">
                  <v>0.00135416666666667</v>
                </pt>
                <pt idx="93">
                  <v>0.00136574074074074</v>
                </pt>
                <pt idx="94">
                  <v>0.00137731481481481</v>
                </pt>
                <pt idx="95">
                  <v>0.00138888888888889</v>
                </pt>
                <pt idx="96">
                  <v>0.00140046296296296</v>
                </pt>
                <pt idx="97">
                  <v>0.00141203703703704</v>
                </pt>
                <pt idx="98">
                  <v>0.00142361111111111</v>
                </pt>
                <pt idx="99">
                  <v>0.00143518518518518</v>
                </pt>
                <pt idx="100">
                  <v>0.00144675925925926</v>
                </pt>
                <pt idx="101">
                  <v>0.00145833333333333</v>
                </pt>
                <pt idx="102">
                  <v>0.00146990740740741</v>
                </pt>
                <pt idx="103">
                  <v>0.00148148148148148</v>
                </pt>
                <pt idx="104">
                  <v>0.00149305555555556</v>
                </pt>
                <pt idx="105">
                  <v>0.00150462962962963</v>
                </pt>
                <pt idx="106">
                  <v>0.0015162037037037</v>
                </pt>
                <pt idx="107">
                  <v>0.00152777777777778</v>
                </pt>
                <pt idx="108">
                  <v>0.00153935185185185</v>
                </pt>
                <pt idx="109">
                  <v>0.00155092592592593</v>
                </pt>
                <pt idx="110">
                  <v>0.0015625</v>
                </pt>
                <pt idx="111">
                  <v>0.00157407407407407</v>
                </pt>
                <pt idx="112">
                  <v>0.00158564814814815</v>
                </pt>
                <pt idx="113">
                  <v>0.00159722222222222</v>
                </pt>
                <pt idx="114">
                  <v>0.0016087962962963</v>
                </pt>
                <pt idx="115">
                  <v>0.00162037037037037</v>
                </pt>
                <pt idx="116">
                  <v>0.00163194444444444</v>
                </pt>
                <pt idx="117">
                  <v>0.00164351851851852</v>
                </pt>
                <pt idx="118">
                  <v>0.00165509259259259</v>
                </pt>
                <pt idx="119">
                  <v>0.00166666666666667</v>
                </pt>
                <pt idx="120">
                  <v>0.00167824074074074</v>
                </pt>
                <pt idx="121">
                  <v>0.00168981481481482</v>
                </pt>
                <pt idx="122">
                  <v>0.00170138888888889</v>
                </pt>
                <pt idx="123">
                  <v>0.00171296296296296</v>
                </pt>
                <pt idx="124">
                  <v>0.00172453703703704</v>
                </pt>
                <pt idx="125">
                  <v>0.00173611111111111</v>
                </pt>
                <pt idx="126">
                  <v>0.00174768518518519</v>
                </pt>
                <pt idx="127">
                  <v>0.00175925925925926</v>
                </pt>
                <pt idx="128">
                  <v>0.00177083333333333</v>
                </pt>
                <pt idx="129">
                  <v>0.00178240740740741</v>
                </pt>
                <pt idx="130">
                  <v>0.00179398148148148</v>
                </pt>
                <pt idx="131">
                  <v>0.00180555555555556</v>
                </pt>
                <pt idx="132">
                  <v>0.00181712962962963</v>
                </pt>
                <pt idx="133">
                  <v>0.0018287037037037</v>
                </pt>
                <pt idx="134">
                  <v>0.00184027777777778</v>
                </pt>
                <pt idx="135">
                  <v>0.00185185185185185</v>
                </pt>
                <pt idx="136">
                  <v>0.00186342592592593</v>
                </pt>
                <pt idx="137">
                  <v>0.001875</v>
                </pt>
                <pt idx="138">
                  <v>0.00188657407407407</v>
                </pt>
                <pt idx="139">
                  <v>0.00189814814814815</v>
                </pt>
                <pt idx="140">
                  <v>0.00190972222222222</v>
                </pt>
                <pt idx="141">
                  <v>0.0019212962962963</v>
                </pt>
                <pt idx="142">
                  <v>0.00193287037037037</v>
                </pt>
                <pt idx="143">
                  <v>0.00194444444444444</v>
                </pt>
                <pt idx="144">
                  <v>0.00195601851851852</v>
                </pt>
                <pt idx="145">
                  <v>0.00196759259259259</v>
                </pt>
                <pt idx="146">
                  <v>0.00197916666666667</v>
                </pt>
                <pt idx="147">
                  <v>0.00199074074074074</v>
                </pt>
                <pt idx="148">
                  <v>0.00200231481481481</v>
                </pt>
                <pt idx="149">
                  <v>0.00201388888888889</v>
                </pt>
                <pt idx="150">
                  <v>0.00202546296296296</v>
                </pt>
                <pt idx="151">
                  <v>0.00203703703703704</v>
                </pt>
                <pt idx="152">
                  <v>0.00204861111111111</v>
                </pt>
                <pt idx="153">
                  <v>0.00206018518518518</v>
                </pt>
                <pt idx="154">
                  <v>0.00207175925925926</v>
                </pt>
                <pt idx="155">
                  <v>0.00208333333333333</v>
                </pt>
                <pt idx="156">
                  <v>0.00209490740740741</v>
                </pt>
                <pt idx="157">
                  <v>0.00210648148148148</v>
                </pt>
                <pt idx="158">
                  <v>0.00211805555555556</v>
                </pt>
                <pt idx="159">
                  <v>0.00212962962962963</v>
                </pt>
                <pt idx="160">
                  <v>0.0021412037037037</v>
                </pt>
                <pt idx="161">
                  <v>0.00215277777777778</v>
                </pt>
                <pt idx="162">
                  <v>0.00216435185185185</v>
                </pt>
                <pt idx="163">
                  <v>0.00217592592592593</v>
                </pt>
                <pt idx="164">
                  <v>0.0021875</v>
                </pt>
                <pt idx="165">
                  <v>0.00219907407407407</v>
                </pt>
                <pt idx="166">
                  <v>0.00221064814814815</v>
                </pt>
                <pt idx="167">
                  <v>0.00222222222222222</v>
                </pt>
                <pt idx="168">
                  <v>0.0022337962962963</v>
                </pt>
                <pt idx="169">
                  <v>0.00224537037037037</v>
                </pt>
                <pt idx="170">
                  <v>0.00225694444444444</v>
                </pt>
                <pt idx="171">
                  <v>0.00226851851851852</v>
                </pt>
                <pt idx="172">
                  <v>0.00228009259259259</v>
                </pt>
                <pt idx="173">
                  <v>0.00229166666666667</v>
                </pt>
                <pt idx="174">
                  <v>0.00230324074074074</v>
                </pt>
                <pt idx="175">
                  <v>0.00231481481481482</v>
                </pt>
                <pt idx="176">
                  <v>0.00232638888888889</v>
                </pt>
                <pt idx="177">
                  <v>0.00233796296296296</v>
                </pt>
                <pt idx="178">
                  <v>0.00234953703703704</v>
                </pt>
                <pt idx="179">
                  <v>0.00236111111111111</v>
                </pt>
                <pt idx="180">
                  <v>0.00237268518518519</v>
                </pt>
                <pt idx="181">
                  <v>0.00238425925925926</v>
                </pt>
                <pt idx="182">
                  <v>0.00239583333333333</v>
                </pt>
                <pt idx="183">
                  <v>0.00240740740740741</v>
                </pt>
                <pt idx="184">
                  <v>0.00241898148148148</v>
                </pt>
                <pt idx="185">
                  <v>0.00243055555555556</v>
                </pt>
                <pt idx="186">
                  <v>0.00244212962962963</v>
                </pt>
                <pt idx="187">
                  <v>0.0024537037037037</v>
                </pt>
                <pt idx="188">
                  <v>0.00246527777777778</v>
                </pt>
                <pt idx="189">
                  <v>0.00247685185185185</v>
                </pt>
                <pt idx="190">
                  <v>0.00248842592592593</v>
                </pt>
                <pt idx="191">
                  <v>0.0025</v>
                </pt>
                <pt idx="192">
                  <v>0.00251157407407407</v>
                </pt>
                <pt idx="193">
                  <v>0.00252314814814815</v>
                </pt>
                <pt idx="194">
                  <v>0.00253472222222222</v>
                </pt>
                <pt idx="195">
                  <v>0.0025462962962963</v>
                </pt>
                <pt idx="196">
                  <v>0.00255787037037037</v>
                </pt>
                <pt idx="197">
                  <v>0.00256944444444444</v>
                </pt>
                <pt idx="198">
                  <v>0.00258101851851852</v>
                </pt>
                <pt idx="199">
                  <v>0.00259259259259259</v>
                </pt>
                <pt idx="200">
                  <v>0.00260416666666667</v>
                </pt>
                <pt idx="201">
                  <v>0.00261574074074074</v>
                </pt>
                <pt idx="202">
                  <v>0.00262731481481481</v>
                </pt>
                <pt idx="203">
                  <v>0.00263888888888889</v>
                </pt>
                <pt idx="204">
                  <v>0.00265046296296296</v>
                </pt>
                <pt idx="205">
                  <v>0.00266203703703704</v>
                </pt>
                <pt idx="206">
                  <v>0.00267361111111111</v>
                </pt>
                <pt idx="207">
                  <v>0.00268518518518518</v>
                </pt>
                <pt idx="208">
                  <v>0.00269675925925926</v>
                </pt>
                <pt idx="209">
                  <v>0.00270833333333333</v>
                </pt>
                <pt idx="210">
                  <v>0.00271990740740741</v>
                </pt>
                <pt idx="211">
                  <v>0.00273148148148148</v>
                </pt>
                <pt idx="212">
                  <v>0.00274305555555556</v>
                </pt>
                <pt idx="213">
                  <v>0.00275462962962963</v>
                </pt>
                <pt idx="214">
                  <v>0.0027662037037037</v>
                </pt>
                <pt idx="215">
                  <v>0.00277777777777778</v>
                </pt>
                <pt idx="216">
                  <v>0.00278935185185185</v>
                </pt>
                <pt idx="217">
                  <v>0.00280092592592593</v>
                </pt>
                <pt idx="218">
                  <v>0.0028125</v>
                </pt>
                <pt idx="219">
                  <v>0.00282407407407407</v>
                </pt>
                <pt idx="220">
                  <v>0.00283564814814815</v>
                </pt>
                <pt idx="221">
                  <v>0.00284722222222222</v>
                </pt>
                <pt idx="222">
                  <v>0.0028587962962963</v>
                </pt>
                <pt idx="223">
                  <v>0.00287037037037037</v>
                </pt>
                <pt idx="224">
                  <v>0.00288194444444444</v>
                </pt>
                <pt idx="225">
                  <v>0.00289351851851852</v>
                </pt>
                <pt idx="226">
                  <v>0.00290509259259259</v>
                </pt>
                <pt idx="227">
                  <v>0.00291666666666667</v>
                </pt>
                <pt idx="228">
                  <v>0.00292824074074074</v>
                </pt>
                <pt idx="229">
                  <v>0.00293981481481481</v>
                </pt>
                <pt idx="230">
                  <v>0.00295138888888889</v>
                </pt>
                <pt idx="231">
                  <v>0.00296296296296296</v>
                </pt>
                <pt idx="232">
                  <v>0.00297453703703704</v>
                </pt>
                <pt idx="233">
                  <v>0.00298611111111111</v>
                </pt>
                <pt idx="234">
                  <v>0.00299768518518518</v>
                </pt>
                <pt idx="235">
                  <v>0.00300925925925926</v>
                </pt>
                <pt idx="236">
                  <v>0.00302083333333333</v>
                </pt>
                <pt idx="237">
                  <v>0.00303240740740741</v>
                </pt>
                <pt idx="238">
                  <v>0.00304398148148148</v>
                </pt>
                <pt idx="239">
                  <v>0.00305555555555556</v>
                </pt>
                <pt idx="240">
                  <v>0.00306712962962963</v>
                </pt>
                <pt idx="241">
                  <v>0.0030787037037037</v>
                </pt>
                <pt idx="242">
                  <v>0.00309027777777778</v>
                </pt>
                <pt idx="243">
                  <v>0.00310185185185185</v>
                </pt>
                <pt idx="244">
                  <v>0.00311342592592593</v>
                </pt>
                <pt idx="245">
                  <v>0.003125</v>
                </pt>
                <pt idx="246">
                  <v>0.00313657407407407</v>
                </pt>
                <pt idx="247">
                  <v>0.00314814814814815</v>
                </pt>
                <pt idx="248">
                  <v>0.00315972222222222</v>
                </pt>
                <pt idx="249">
                  <v>0.0031712962962963</v>
                </pt>
                <pt idx="250">
                  <v>0.00318287037037037</v>
                </pt>
                <pt idx="251">
                  <v>0.00319444444444445</v>
                </pt>
                <pt idx="252">
                  <v>0.00320601851851852</v>
                </pt>
                <pt idx="253">
                  <v>0.00321759259259259</v>
                </pt>
                <pt idx="254">
                  <v>0.00322916666666667</v>
                </pt>
                <pt idx="255">
                  <v>0.00324074074074074</v>
                </pt>
                <pt idx="256">
                  <v>0.00325231481481482</v>
                </pt>
                <pt idx="257">
                  <v>0.00326388888888889</v>
                </pt>
                <pt idx="258">
                  <v>0.00327546296296296</v>
                </pt>
                <pt idx="259">
                  <v>0.00328703703703704</v>
                </pt>
                <pt idx="260">
                  <v>0.00329861111111111</v>
                </pt>
                <pt idx="261">
                  <v>0.00331018518518519</v>
                </pt>
                <pt idx="262">
                  <v>0.00332175925925926</v>
                </pt>
                <pt idx="263">
                  <v>0.00333333333333333</v>
                </pt>
                <pt idx="264">
                  <v>0.00334490740740741</v>
                </pt>
                <pt idx="265">
                  <v>0.00335648148148148</v>
                </pt>
                <pt idx="266">
                  <v>0.00336805555555556</v>
                </pt>
                <pt idx="267">
                  <v>0.00337962962962963</v>
                </pt>
                <pt idx="268">
                  <v>0.0033912037037037</v>
                </pt>
                <pt idx="269">
                  <v>0.00340277777777778</v>
                </pt>
                <pt idx="270">
                  <v>0.00341435185185185</v>
                </pt>
                <pt idx="271">
                  <v>0.00342592592592593</v>
                </pt>
                <pt idx="272">
                  <v>0.0034375</v>
                </pt>
                <pt idx="273">
                  <v>0.00344907407407407</v>
                </pt>
                <pt idx="274">
                  <v>0.00346064814814815</v>
                </pt>
                <pt idx="275">
                  <v>0.00347222222222222</v>
                </pt>
                <pt idx="276">
                  <v>0.0034837962962963</v>
                </pt>
                <pt idx="277">
                  <v>0.00349537037037037</v>
                </pt>
                <pt idx="278">
                  <v>0.00350694444444444</v>
                </pt>
                <pt idx="279">
                  <v>0.00351851851851852</v>
                </pt>
                <pt idx="280">
                  <v>0.00353009259259259</v>
                </pt>
                <pt idx="281">
                  <v>0.00354166666666667</v>
                </pt>
                <pt idx="282">
                  <v>0.00355324074074074</v>
                </pt>
                <pt idx="283">
                  <v>0.00356481481481481</v>
                </pt>
                <pt idx="284">
                  <v>0.00357638888888889</v>
                </pt>
                <pt idx="285">
                  <v>0.00358796296296296</v>
                </pt>
                <pt idx="286">
                  <v>0.00359953703703704</v>
                </pt>
                <pt idx="287">
                  <v>0.00361111111111111</v>
                </pt>
                <pt idx="288">
                  <v>0.00362268518518518</v>
                </pt>
                <pt idx="289">
                  <v>0.00363425925925926</v>
                </pt>
                <pt idx="290">
                  <v>0.00364583333333333</v>
                </pt>
                <pt idx="291">
                  <v>0.00365740740740741</v>
                </pt>
                <pt idx="292">
                  <v>0.00366898148148148</v>
                </pt>
                <pt idx="293">
                  <v>0.00368055555555555</v>
                </pt>
                <pt idx="294">
                  <v>0.00369212962962963</v>
                </pt>
                <pt idx="295">
                  <v>0.0037037037037037</v>
                </pt>
                <pt idx="296">
                  <v>0.00371527777777778</v>
                </pt>
                <pt idx="297">
                  <v>0.00372685185185185</v>
                </pt>
                <pt idx="298">
                  <v>0.00373842592592593</v>
                </pt>
                <pt idx="299">
                  <v>0.00375</v>
                </pt>
                <pt idx="300">
                  <v>0.00376157407407407</v>
                </pt>
                <pt idx="301">
                  <v>0.00377314814814815</v>
                </pt>
                <pt idx="302">
                  <v>0.00378472222222222</v>
                </pt>
                <pt idx="303">
                  <v>0.0037962962962963</v>
                </pt>
                <pt idx="304">
                  <v>0.00380787037037037</v>
                </pt>
                <pt idx="305">
                  <v>0.00381944444444444</v>
                </pt>
                <pt idx="306">
                  <v>0.00383101851851852</v>
                </pt>
                <pt idx="307">
                  <v>0.00384259259259259</v>
                </pt>
                <pt idx="308">
                  <v>0.00385416666666667</v>
                </pt>
                <pt idx="309">
                  <v>0.00386574074074074</v>
                </pt>
                <pt idx="310">
                  <v>0.00387731481481482</v>
                </pt>
                <pt idx="311">
                  <v>0.00388888888888889</v>
                </pt>
                <pt idx="312">
                  <v>0.00390046296296296</v>
                </pt>
                <pt idx="313">
                  <v>0.00391203703703704</v>
                </pt>
                <pt idx="314">
                  <v>0.00392361111111111</v>
                </pt>
                <pt idx="315">
                  <v>0.00393518518518518</v>
                </pt>
                <pt idx="316">
                  <v>0.00394675925925926</v>
                </pt>
                <pt idx="317">
                  <v>0.00395833333333333</v>
                </pt>
                <pt idx="318">
                  <v>0.00396990740740741</v>
                </pt>
                <pt idx="319">
                  <v>0.00398148148148148</v>
                </pt>
                <pt idx="320">
                  <v>0.00399305555555556</v>
                </pt>
                <pt idx="321">
                  <v>0.00400462962962963</v>
                </pt>
                <pt idx="322">
                  <v>0.0040162037037037</v>
                </pt>
                <pt idx="323">
                  <v>0.00402777777777778</v>
                </pt>
                <pt idx="324">
                  <v>0.00403935185185185</v>
                </pt>
                <pt idx="325">
                  <v>0.00405092592592593</v>
                </pt>
                <pt idx="326">
                  <v>0.0040625</v>
                </pt>
                <pt idx="327">
                  <v>0.00407407407407407</v>
                </pt>
                <pt idx="328">
                  <v>0.00408564814814815</v>
                </pt>
                <pt idx="329">
                  <v>0.00409722222222222</v>
                </pt>
                <pt idx="330">
                  <v>0.0041087962962963</v>
                </pt>
                <pt idx="331">
                  <v>0.00412037037037037</v>
                </pt>
                <pt idx="332">
                  <v>0.00413194444444444</v>
                </pt>
                <pt idx="333">
                  <v>0.00414351851851852</v>
                </pt>
                <pt idx="334">
                  <v>0.00415509259259259</v>
                </pt>
                <pt idx="335">
                  <v>0.00416666666666667</v>
                </pt>
                <pt idx="336">
                  <v>0.00417824074074074</v>
                </pt>
                <pt idx="337">
                  <v>0.00418981481481481</v>
                </pt>
                <pt idx="338">
                  <v>0.00420138888888889</v>
                </pt>
                <pt idx="339">
                  <v>0.00421296296296296</v>
                </pt>
                <pt idx="340">
                  <v>0.00422453703703704</v>
                </pt>
                <pt idx="341">
                  <v>0.00423611111111111</v>
                </pt>
                <pt idx="342">
                  <v>0.00424768518518519</v>
                </pt>
                <pt idx="343">
                  <v>0.00425925925925926</v>
                </pt>
                <pt idx="344">
                  <v>0.00427083333333333</v>
                </pt>
                <pt idx="345">
                  <v>0.00428240740740741</v>
                </pt>
                <pt idx="346">
                  <v>0.00429398148148148</v>
                </pt>
                <pt idx="347">
                  <v>0.00430555555555556</v>
                </pt>
                <pt idx="348">
                  <v>0.00431712962962963</v>
                </pt>
                <pt idx="349">
                  <v>0.0043287037037037</v>
                </pt>
                <pt idx="350">
                  <v>0.00434027777777778</v>
                </pt>
                <pt idx="351">
                  <v>0.00435185185185185</v>
                </pt>
                <pt idx="352">
                  <v>0.00436342592592593</v>
                </pt>
                <pt idx="353">
                  <v>0.004375</v>
                </pt>
                <pt idx="354">
                  <v>0.00438657407407407</v>
                </pt>
                <pt idx="355">
                  <v>0.00439814814814815</v>
                </pt>
                <pt idx="356">
                  <v>0.00440972222222222</v>
                </pt>
                <pt idx="357">
                  <v>0.0044212962962963</v>
                </pt>
                <pt idx="358">
                  <v>0.00443287037037037</v>
                </pt>
                <pt idx="359">
                  <v>0.00444444444444444</v>
                </pt>
                <pt idx="360">
                  <v>0.00445601851851852</v>
                </pt>
                <pt idx="361">
                  <v>0.00446759259259259</v>
                </pt>
                <pt idx="362">
                  <v>0.00447916666666667</v>
                </pt>
                <pt idx="363">
                  <v>0.00449074074074074</v>
                </pt>
                <pt idx="364">
                  <v>0.00450231481481481</v>
                </pt>
                <pt idx="365">
                  <v>0.00451388888888889</v>
                </pt>
                <pt idx="366">
                  <v>0.00452546296296296</v>
                </pt>
                <pt idx="367">
                  <v>0.00453703703703704</v>
                </pt>
                <pt idx="368">
                  <v>0.00454861111111111</v>
                </pt>
                <pt idx="369">
                  <v>0.00456018518518519</v>
                </pt>
                <pt idx="370">
                  <v>0.00457175925925926</v>
                </pt>
                <pt idx="371">
                  <v>0.00458333333333333</v>
                </pt>
                <pt idx="372">
                  <v>0.00459490740740741</v>
                </pt>
                <pt idx="373">
                  <v>0.00460648148148148</v>
                </pt>
                <pt idx="374">
                  <v>0.00461805555555556</v>
                </pt>
                <pt idx="375">
                  <v>0.00462962962962963</v>
                </pt>
                <pt idx="376">
                  <v>0.0046412037037037</v>
                </pt>
                <pt idx="377">
                  <v>0.00465277777777778</v>
                </pt>
                <pt idx="378">
                  <v>0.00466435185185185</v>
                </pt>
                <pt idx="379">
                  <v>0.00467592592592593</v>
                </pt>
                <pt idx="380">
                  <v>0.0046875</v>
                </pt>
                <pt idx="381">
                  <v>0.00469907407407407</v>
                </pt>
                <pt idx="382">
                  <v>0.00471064814814815</v>
                </pt>
                <pt idx="383">
                  <v>0.00472222222222222</v>
                </pt>
                <pt idx="384">
                  <v>0.0047337962962963</v>
                </pt>
                <pt idx="385">
                  <v>0.00474537037037037</v>
                </pt>
                <pt idx="386">
                  <v>0.00475694444444444</v>
                </pt>
                <pt idx="387">
                  <v>0.00476851851851852</v>
                </pt>
                <pt idx="388">
                  <v>0.00478009259259259</v>
                </pt>
                <pt idx="389">
                  <v>0.00479166666666667</v>
                </pt>
                <pt idx="390">
                  <v>0.00480324074074074</v>
                </pt>
                <pt idx="391">
                  <v>0.00481481481481482</v>
                </pt>
                <pt idx="392">
                  <v>0.00482638888888889</v>
                </pt>
                <pt idx="393">
                  <v>0.00483796296296296</v>
                </pt>
                <pt idx="394">
                  <v>0.00484953703703704</v>
                </pt>
                <pt idx="395">
                  <v>0.00486111111111111</v>
                </pt>
                <pt idx="396">
                  <v>0.00487268518518518</v>
                </pt>
                <pt idx="397">
                  <v>0.00488425925925926</v>
                </pt>
                <pt idx="398">
                  <v>0.00489583333333333</v>
                </pt>
                <pt idx="399">
                  <v>0.00490740740740741</v>
                </pt>
                <pt idx="400">
                  <v>0.00491898148148148</v>
                </pt>
                <pt idx="401">
                  <v>0.00493055555555556</v>
                </pt>
                <pt idx="402">
                  <v>0.00494212962962963</v>
                </pt>
                <pt idx="403">
                  <v>0.0049537037037037</v>
                </pt>
                <pt idx="404">
                  <v>0.00496527777777778</v>
                </pt>
                <pt idx="405">
                  <v>0.00497685185185185</v>
                </pt>
                <pt idx="406">
                  <v>0.00498842592592593</v>
                </pt>
                <pt idx="407">
                  <v>0.005</v>
                </pt>
                <pt idx="408">
                  <v>0.00501157407407407</v>
                </pt>
                <pt idx="409">
                  <v>0.00502314814814815</v>
                </pt>
                <pt idx="410">
                  <v>0.00503472222222222</v>
                </pt>
                <pt idx="411">
                  <v>0.0050462962962963</v>
                </pt>
                <pt idx="412">
                  <v>0.00505787037037037</v>
                </pt>
                <pt idx="413">
                  <v>0.00506944444444444</v>
                </pt>
                <pt idx="414">
                  <v>0.00508101851851852</v>
                </pt>
                <pt idx="415">
                  <v>0.00509259259259259</v>
                </pt>
                <pt idx="416">
                  <v>0.00510416666666667</v>
                </pt>
                <pt idx="417">
                  <v>0.00511574074074074</v>
                </pt>
                <pt idx="418">
                  <v>0.00512731481481481</v>
                </pt>
                <pt idx="419">
                  <v>0.00513888888888889</v>
                </pt>
                <pt idx="420">
                  <v>0.00515046296296296</v>
                </pt>
                <pt idx="421">
                  <v>0.00516203703703704</v>
                </pt>
                <pt idx="422">
                  <v>0.00517361111111111</v>
                </pt>
                <pt idx="423">
                  <v>0.00518518518518519</v>
                </pt>
                <pt idx="424">
                  <v>0.00519675925925926</v>
                </pt>
                <pt idx="425">
                  <v>0.00520833333333333</v>
                </pt>
                <pt idx="426">
                  <v>0.00521990740740741</v>
                </pt>
                <pt idx="427">
                  <v>0.00523148148148148</v>
                </pt>
                <pt idx="428">
                  <v>0.00524305555555555</v>
                </pt>
                <pt idx="429">
                  <v>0.00525462962962963</v>
                </pt>
                <pt idx="430">
                  <v>0.0052662037037037</v>
                </pt>
                <pt idx="431">
                  <v>0.00527777777777778</v>
                </pt>
                <pt idx="432">
                  <v>0.00528935185185185</v>
                </pt>
                <pt idx="433">
                  <v>0.00530092592592593</v>
                </pt>
                <pt idx="434">
                  <v>0.0053125</v>
                </pt>
                <pt idx="435">
                  <v>0.00532407407407407</v>
                </pt>
                <pt idx="436">
                  <v>0.00533564814814815</v>
                </pt>
                <pt idx="437">
                  <v>0.00534722222222222</v>
                </pt>
                <pt idx="438">
                  <v>0.0053587962962963</v>
                </pt>
                <pt idx="439">
                  <v>0.00537037037037037</v>
                </pt>
                <pt idx="440">
                  <v>0.00538194444444444</v>
                </pt>
                <pt idx="441">
                  <v>0.00539351851851852</v>
                </pt>
                <pt idx="442">
                  <v>0.00540509259259259</v>
                </pt>
                <pt idx="443">
                  <v>0.00541666666666667</v>
                </pt>
                <pt idx="444">
                  <v>0.00542824074074074</v>
                </pt>
                <pt idx="445">
                  <v>0.00543981481481481</v>
                </pt>
                <pt idx="446">
                  <v>0.00545138888888889</v>
                </pt>
                <pt idx="447">
                  <v>0.00546296296296296</v>
                </pt>
                <pt idx="448">
                  <v>0.00547453703703704</v>
                </pt>
                <pt idx="449">
                  <v>0.00548611111111111</v>
                </pt>
                <pt idx="450">
                  <v>0.00549768518518519</v>
                </pt>
                <pt idx="451">
                  <v>0.00550925925925926</v>
                </pt>
                <pt idx="452">
                  <v>0.00552083333333333</v>
                </pt>
                <pt idx="453">
                  <v>0.00553240740740741</v>
                </pt>
                <pt idx="454">
                  <v>0.00554398148148148</v>
                </pt>
                <pt idx="455">
                  <v>0.00555555555555556</v>
                </pt>
                <pt idx="456">
                  <v>0.00556712962962963</v>
                </pt>
                <pt idx="457">
                  <v>0.0055787037037037</v>
                </pt>
                <pt idx="458">
                  <v>0.00559027777777778</v>
                </pt>
                <pt idx="459">
                  <v>0.00560185185185185</v>
                </pt>
                <pt idx="460">
                  <v>0.00561342592592593</v>
                </pt>
                <pt idx="461">
                  <v>0.005625</v>
                </pt>
                <pt idx="462">
                  <v>0.00563657407407407</v>
                </pt>
                <pt idx="463">
                  <v>0.00564814814814815</v>
                </pt>
                <pt idx="464">
                  <v>0.00565972222222222</v>
                </pt>
                <pt idx="465">
                  <v>0.0056712962962963</v>
                </pt>
                <pt idx="466">
                  <v>0.00568287037037037</v>
                </pt>
                <pt idx="467">
                  <v>0.00569444444444444</v>
                </pt>
                <pt idx="468">
                  <v>0.00570601851851852</v>
                </pt>
                <pt idx="469">
                  <v>0.00571759259259259</v>
                </pt>
                <pt idx="470">
                  <v>0.00572916666666667</v>
                </pt>
                <pt idx="471">
                  <v>0.00574074074074074</v>
                </pt>
                <pt idx="472">
                  <v>0.00575231481481482</v>
                </pt>
                <pt idx="473">
                  <v>0.00576388888888889</v>
                </pt>
                <pt idx="474">
                  <v>0.00577546296296296</v>
                </pt>
                <pt idx="475">
                  <v>0.00578703703703704</v>
                </pt>
                <pt idx="476">
                  <v>0.00579861111111111</v>
                </pt>
                <pt idx="477">
                  <v>0.00581018518518519</v>
                </pt>
                <pt idx="478">
                  <v>0.00582175925925926</v>
                </pt>
                <pt idx="479">
                  <v>0.00583333333333333</v>
                </pt>
                <pt idx="480">
                  <v>0.00584490740740741</v>
                </pt>
                <pt idx="481">
                  <v>0.00585648148148148</v>
                </pt>
                <pt idx="482">
                  <v>0.00586805555555556</v>
                </pt>
                <pt idx="483">
                  <v>0.00587962962962963</v>
                </pt>
                <pt idx="484">
                  <v>0.0058912037037037</v>
                </pt>
                <pt idx="485">
                  <v>0.00590277777777778</v>
                </pt>
                <pt idx="486">
                  <v>0.00591435185185185</v>
                </pt>
                <pt idx="487">
                  <v>0.00592592592592593</v>
                </pt>
                <pt idx="488">
                  <v>0.0059375</v>
                </pt>
                <pt idx="489">
                  <v>0.00594907407407408</v>
                </pt>
                <pt idx="490">
                  <v>0.00596064814814815</v>
                </pt>
                <pt idx="491">
                  <v>0.00597222222222222</v>
                </pt>
                <pt idx="492">
                  <v>0.0059837962962963</v>
                </pt>
                <pt idx="493">
                  <v>0.00599537037037037</v>
                </pt>
                <pt idx="494">
                  <v>0.00600694444444444</v>
                </pt>
                <pt idx="495">
                  <v>0.00601851851851852</v>
                </pt>
                <pt idx="496">
                  <v>0.00603009259259259</v>
                </pt>
                <pt idx="497">
                  <v>0.00604166666666667</v>
                </pt>
                <pt idx="498">
                  <v>0.00605324074074074</v>
                </pt>
                <pt idx="499">
                  <v>0.00606481481481482</v>
                </pt>
                <pt idx="500">
                  <v>0.00607638888888889</v>
                </pt>
                <pt idx="501">
                  <v>0.00608796296296296</v>
                </pt>
                <pt idx="502">
                  <v>0.00609953703703704</v>
                </pt>
                <pt idx="503">
                  <v>0.00611111111111111</v>
                </pt>
                <pt idx="504">
                  <v>0.00612268518518518</v>
                </pt>
                <pt idx="505">
                  <v>0.00613425925925926</v>
                </pt>
                <pt idx="506">
                  <v>0.00614583333333333</v>
                </pt>
                <pt idx="507">
                  <v>0.00615740740740741</v>
                </pt>
                <pt idx="508">
                  <v>0.00616898148148148</v>
                </pt>
                <pt idx="509">
                  <v>0.00618055555555555</v>
                </pt>
                <pt idx="510">
                  <v>0.00619212962962963</v>
                </pt>
                <pt idx="511">
                  <v>0.0062037037037037</v>
                </pt>
                <pt idx="512">
                  <v>0.00621527777777778</v>
                </pt>
                <pt idx="513">
                  <v>0.00622685185185185</v>
                </pt>
                <pt idx="514">
                  <v>0.00623842592592593</v>
                </pt>
                <pt idx="515">
                  <v>0.00625</v>
                </pt>
                <pt idx="516">
                  <v>0.00626157407407407</v>
                </pt>
                <pt idx="517">
                  <v>0.00627314814814815</v>
                </pt>
                <pt idx="518">
                  <v>0.00628472222222222</v>
                </pt>
                <pt idx="519">
                  <v>0.0062962962962963</v>
                </pt>
                <pt idx="520">
                  <v>0.00630787037037037</v>
                </pt>
                <pt idx="521">
                  <v>0.00631944444444444</v>
                </pt>
                <pt idx="522">
                  <v>0.00633101851851852</v>
                </pt>
                <pt idx="523">
                  <v>0.00634259259259259</v>
                </pt>
                <pt idx="524">
                  <v>0.00635416666666667</v>
                </pt>
                <pt idx="525">
                  <v>0.00636574074074074</v>
                </pt>
                <pt idx="526">
                  <v>0.00637731481481481</v>
                </pt>
                <pt idx="527">
                  <v>0.00638888888888889</v>
                </pt>
                <pt idx="528">
                  <v>0.00640046296296296</v>
                </pt>
                <pt idx="529">
                  <v>0.00641203703703704</v>
                </pt>
                <pt idx="530">
                  <v>0.00642361111111111</v>
                </pt>
                <pt idx="531">
                  <v>0.00643518518518519</v>
                </pt>
                <pt idx="532">
                  <v>0.00644675925925926</v>
                </pt>
                <pt idx="533">
                  <v>0.00645833333333333</v>
                </pt>
                <pt idx="534">
                  <v>0.00646990740740741</v>
                </pt>
                <pt idx="535">
                  <v>0.00648148148148148</v>
                </pt>
                <pt idx="536">
                  <v>0.00649305555555556</v>
                </pt>
                <pt idx="537">
                  <v>0.00650462962962963</v>
                </pt>
                <pt idx="538">
                  <v>0.0065162037037037</v>
                </pt>
                <pt idx="539">
                  <v>0.00652777777777778</v>
                </pt>
                <pt idx="540">
                  <v>0.00653935185185185</v>
                </pt>
                <pt idx="541">
                  <v>0.00655092592592593</v>
                </pt>
                <pt idx="542">
                  <v>0.0065625</v>
                </pt>
                <pt idx="543">
                  <v>0.00657407407407407</v>
                </pt>
                <pt idx="544">
                  <v>0.00658564814814815</v>
                </pt>
                <pt idx="545">
                  <v>0.00659722222222222</v>
                </pt>
                <pt idx="546">
                  <v>0.0066087962962963</v>
                </pt>
                <pt idx="547">
                  <v>0.00662037037037037</v>
                </pt>
                <pt idx="548">
                  <v>0.00663194444444444</v>
                </pt>
                <pt idx="549">
                  <v>0.00664351851851852</v>
                </pt>
                <pt idx="550">
                  <v>0.00665509259259259</v>
                </pt>
                <pt idx="551">
                  <v>0.00666666666666667</v>
                </pt>
                <pt idx="552">
                  <v>0.00667824074074074</v>
                </pt>
                <pt idx="553">
                  <v>0.00668981481481482</v>
                </pt>
                <pt idx="554">
                  <v>0.00670138888888889</v>
                </pt>
                <pt idx="555">
                  <v>0.00671296296296296</v>
                </pt>
                <pt idx="556">
                  <v>0.00672453703703704</v>
                </pt>
                <pt idx="557">
                  <v>0.00673611111111111</v>
                </pt>
                <pt idx="558">
                  <v>0.00674768518518519</v>
                </pt>
                <pt idx="559">
                  <v>0.00675925925925926</v>
                </pt>
                <pt idx="560">
                  <v>0.00677083333333333</v>
                </pt>
                <pt idx="561">
                  <v>0.00678240740740741</v>
                </pt>
                <pt idx="562">
                  <v>0.00679398148148148</v>
                </pt>
                <pt idx="563">
                  <v>0.00680555555555556</v>
                </pt>
                <pt idx="564">
                  <v>0.00681712962962963</v>
                </pt>
                <pt idx="565">
                  <v>0.0068287037037037</v>
                </pt>
                <pt idx="566">
                  <v>0.00684027777777778</v>
                </pt>
                <pt idx="567">
                  <v>0.00685185185185185</v>
                </pt>
                <pt idx="568">
                  <v>0.00686342592592593</v>
                </pt>
                <pt idx="569">
                  <v>0.006875</v>
                </pt>
                <pt idx="570">
                  <v>0.00688657407407407</v>
                </pt>
                <pt idx="571">
                  <v>0.00689814814814815</v>
                </pt>
                <pt idx="572">
                  <v>0.00690972222222222</v>
                </pt>
                <pt idx="573">
                  <v>0.0069212962962963</v>
                </pt>
                <pt idx="574">
                  <v>0.00693287037037037</v>
                </pt>
                <pt idx="575">
                  <v>0.00694444444444444</v>
                </pt>
                <pt idx="576">
                  <v>0.00695601851851852</v>
                </pt>
                <pt idx="577">
                  <v>0.00696759259259259</v>
                </pt>
                <pt idx="578">
                  <v>0.00697916666666667</v>
                </pt>
                <pt idx="579">
                  <v>0.00699074074074074</v>
                </pt>
                <pt idx="580">
                  <v>0.00700231481481482</v>
                </pt>
                <pt idx="581">
                  <v>0.00701388888888889</v>
                </pt>
                <pt idx="582">
                  <v>0.00702546296296296</v>
                </pt>
                <pt idx="583">
                  <v>0.00703703703703704</v>
                </pt>
                <pt idx="584">
                  <v>0.00704861111111111</v>
                </pt>
                <pt idx="585">
                  <v>0.00706018518518518</v>
                </pt>
                <pt idx="586">
                  <v>0.00707175925925926</v>
                </pt>
                <pt idx="587">
                  <v>0.00708333333333333</v>
                </pt>
                <pt idx="588">
                  <v>0.00709490740740741</v>
                </pt>
                <pt idx="589">
                  <v>0.00710648148148148</v>
                </pt>
                <pt idx="590">
                  <v>0.00711805555555556</v>
                </pt>
                <pt idx="591">
                  <v>0.00712962962962963</v>
                </pt>
                <pt idx="592">
                  <v>0.0071412037037037</v>
                </pt>
                <pt idx="593">
                  <v>0.00715277777777778</v>
                </pt>
                <pt idx="594">
                  <v>0.00716435185185185</v>
                </pt>
                <pt idx="595">
                  <v>0.00717592592592593</v>
                </pt>
                <pt idx="596">
                  <v>0.0071875</v>
                </pt>
                <pt idx="597">
                  <v>0.00719907407407407</v>
                </pt>
                <pt idx="598">
                  <v>0.00721064814814815</v>
                </pt>
                <pt idx="599">
                  <v>0.00722222222222222</v>
                </pt>
                <pt idx="600">
                  <v>0.0072337962962963</v>
                </pt>
                <pt idx="601">
                  <v>0.00724537037037037</v>
                </pt>
                <pt idx="602">
                  <v>0.00725694444444444</v>
                </pt>
                <pt idx="603">
                  <v>0.00726851851851852</v>
                </pt>
                <pt idx="604">
                  <v>0.00728009259259259</v>
                </pt>
                <pt idx="605">
                  <v>0.00729166666666667</v>
                </pt>
                <pt idx="606">
                  <v>0.00730324074074074</v>
                </pt>
                <pt idx="607">
                  <v>0.00731481481481481</v>
                </pt>
                <pt idx="608">
                  <v>0.00732638888888889</v>
                </pt>
                <pt idx="609">
                  <v>0.00733796296296296</v>
                </pt>
                <pt idx="610">
                  <v>0.00734953703703704</v>
                </pt>
                <pt idx="611">
                  <v>0.00736111111111111</v>
                </pt>
                <pt idx="612">
                  <v>0.00737268518518519</v>
                </pt>
                <pt idx="613">
                  <v>0.00738425925925926</v>
                </pt>
                <pt idx="614">
                  <v>0.00739583333333333</v>
                </pt>
                <pt idx="615">
                  <v>0.00740740740740741</v>
                </pt>
                <pt idx="616">
                  <v>0.00741898148148148</v>
                </pt>
                <pt idx="617">
                  <v>0.00743055555555556</v>
                </pt>
                <pt idx="618">
                  <v>0.00744212962962963</v>
                </pt>
                <pt idx="619">
                  <v>0.0074537037037037</v>
                </pt>
                <pt idx="620">
                  <v>0.00746527777777778</v>
                </pt>
                <pt idx="621">
                  <v>0.00747685185185185</v>
                </pt>
                <pt idx="622">
                  <v>0.00748842592592593</v>
                </pt>
                <pt idx="623">
                  <v>0.0075</v>
                </pt>
                <pt idx="624">
                  <v>0.00751157407407407</v>
                </pt>
                <pt idx="625">
                  <v>0.00752314814814815</v>
                </pt>
                <pt idx="626">
                  <v>0.00753472222222222</v>
                </pt>
                <pt idx="627">
                  <v>0.0075462962962963</v>
                </pt>
                <pt idx="628">
                  <v>0.00755787037037037</v>
                </pt>
                <pt idx="629">
                  <v>0.00756944444444444</v>
                </pt>
                <pt idx="630">
                  <v>0.00758101851851852</v>
                </pt>
                <pt idx="631">
                  <v>0.00759259259259259</v>
                </pt>
                <pt idx="632">
                  <v>0.00760416666666667</v>
                </pt>
                <pt idx="633">
                  <v>0.00761574074074074</v>
                </pt>
                <pt idx="634">
                  <v>0.00762731481481482</v>
                </pt>
                <pt idx="635">
                  <v>0.00763888888888889</v>
                </pt>
                <pt idx="636">
                  <v>0.00765046296296296</v>
                </pt>
                <pt idx="637">
                  <v>0.00766203703703704</v>
                </pt>
                <pt idx="638">
                  <v>0.00767361111111111</v>
                </pt>
                <pt idx="639">
                  <v>0.00768518518518519</v>
                </pt>
                <pt idx="640">
                  <v>0.00769675925925926</v>
                </pt>
                <pt idx="641">
                  <v>0.00770833333333333</v>
                </pt>
                <pt idx="642">
                  <v>0.00771990740740741</v>
                </pt>
                <pt idx="643">
                  <v>0.00773148148148148</v>
                </pt>
                <pt idx="644">
                  <v>0.00774305555555556</v>
                </pt>
                <pt idx="645">
                  <v>0.00775462962962963</v>
                </pt>
                <pt idx="646">
                  <v>0.0077662037037037</v>
                </pt>
                <pt idx="647">
                  <v>0.00777777777777778</v>
                </pt>
                <pt idx="648">
                  <v>0.00778935185185185</v>
                </pt>
                <pt idx="649">
                  <v>0.00780092592592593</v>
                </pt>
                <pt idx="650">
                  <v>0.0078125</v>
                </pt>
                <pt idx="651">
                  <v>0.00782407407407407</v>
                </pt>
                <pt idx="652">
                  <v>0.007835648148148151</v>
                </pt>
                <pt idx="653">
                  <v>0.007847222222222221</v>
                </pt>
                <pt idx="654">
                  <v>0.007858796296296299</v>
                </pt>
                <pt idx="655">
                  <v>0.00787037037037037</v>
                </pt>
                <pt idx="656">
                  <v>0.00788194444444444</v>
                </pt>
                <pt idx="657">
                  <v>0.00789351851851852</v>
                </pt>
                <pt idx="658">
                  <v>0.00790509259259259</v>
                </pt>
                <pt idx="659">
                  <v>0.007916666666666671</v>
                </pt>
                <pt idx="660">
                  <v>0.007928240740740739</v>
                </pt>
                <pt idx="661">
                  <v>0.007939814814814809</v>
                </pt>
                <pt idx="662">
                  <v>0.00795138888888889</v>
                </pt>
                <pt idx="663">
                  <v>0.00796296296296296</v>
                </pt>
                <pt idx="664">
                  <v>0.00797453703703704</v>
                </pt>
                <pt idx="665">
                  <v>0.00798611111111111</v>
                </pt>
                <pt idx="666">
                  <v>0.007997685185185189</v>
                </pt>
                <pt idx="667">
                  <v>0.008009259259259259</v>
                </pt>
                <pt idx="668">
                  <v>0.008020833333333329</v>
                </pt>
                <pt idx="669">
                  <v>0.00803240740740741</v>
                </pt>
                <pt idx="670">
                  <v>0.00804398148148148</v>
                </pt>
                <pt idx="671">
                  <v>0.008055555555555561</v>
                </pt>
                <pt idx="672">
                  <v>0.008067129629629631</v>
                </pt>
                <pt idx="673">
                  <v>0.008078703703703701</v>
                </pt>
                <pt idx="674">
                  <v>0.00809027777777778</v>
                </pt>
                <pt idx="675">
                  <v>0.00810185185185185</v>
                </pt>
                <pt idx="676">
                  <v>0.00811342592592593</v>
                </pt>
                <pt idx="677">
                  <v>0.008125</v>
                </pt>
                <pt idx="678">
                  <v>0.00813657407407407</v>
                </pt>
                <pt idx="679">
                  <v>0.008148148148148149</v>
                </pt>
                <pt idx="680">
                  <v>0.008159722222222219</v>
                </pt>
                <pt idx="681">
                  <v>0.0081712962962963</v>
                </pt>
                <pt idx="682">
                  <v>0.00818287037037037</v>
                </pt>
                <pt idx="683">
                  <v>0.00819444444444445</v>
                </pt>
                <pt idx="684">
                  <v>0.00820601851851852</v>
                </pt>
                <pt idx="685">
                  <v>0.008217592592592591</v>
                </pt>
                <pt idx="686">
                  <v>0.008229166666666669</v>
                </pt>
                <pt idx="687">
                  <v>0.008240740740740739</v>
                </pt>
                <pt idx="688">
                  <v>0.00825231481481481</v>
                </pt>
                <pt idx="689">
                  <v>0.00826388888888889</v>
                </pt>
                <pt idx="690">
                  <v>0.00827546296296296</v>
                </pt>
                <pt idx="691">
                  <v>0.008287037037037041</v>
                </pt>
                <pt idx="692">
                  <v>0.008298611111111111</v>
                </pt>
                <pt idx="693">
                  <v>0.008310185185185179</v>
                </pt>
                <pt idx="694">
                  <v>0.00832175925925926</v>
                </pt>
                <pt idx="695">
                  <v>0.00833333333333333</v>
                </pt>
                <pt idx="696">
                  <v>0.00834490740740741</v>
                </pt>
                <pt idx="697">
                  <v>0.00835648148148148</v>
                </pt>
                <pt idx="698">
                  <v>0.008368055555555559</v>
                </pt>
                <pt idx="699">
                  <v>0.008379629629629629</v>
                </pt>
                <pt idx="700">
                  <v>0.008391203703703699</v>
                </pt>
                <pt idx="701">
                  <v>0.00840277777777778</v>
                </pt>
                <pt idx="702">
                  <v>0.00841435185185185</v>
                </pt>
                <pt idx="703">
                  <v>0.00842592592592593</v>
                </pt>
                <pt idx="704">
                  <v>0.008437500000000001</v>
                </pt>
                <pt idx="705">
                  <v>0.008449074074074071</v>
                </pt>
                <pt idx="706">
                  <v>0.008460648148148149</v>
                </pt>
                <pt idx="707">
                  <v>0.00847222222222222</v>
                </pt>
                <pt idx="708">
                  <v>0.0084837962962963</v>
                </pt>
                <pt idx="709">
                  <v>0.00849537037037037</v>
                </pt>
                <pt idx="710">
                  <v>0.00850694444444444</v>
                </pt>
                <pt idx="711">
                  <v>0.008518518518518521</v>
                </pt>
                <pt idx="712">
                  <v>0.008530092592592591</v>
                </pt>
                <pt idx="713">
                  <v>0.00854166666666667</v>
                </pt>
                <pt idx="714">
                  <v>0.00855324074074074</v>
                </pt>
                <pt idx="715">
                  <v>0.00856481481481482</v>
                </pt>
                <pt idx="716">
                  <v>0.00857638888888889</v>
                </pt>
                <pt idx="717">
                  <v>0.00858796296296296</v>
                </pt>
                <pt idx="718">
                  <v>0.008599537037037039</v>
                </pt>
                <pt idx="719">
                  <v>0.008611111111111109</v>
                </pt>
                <pt idx="720">
                  <v>0.008622685185185179</v>
                </pt>
                <pt idx="721">
                  <v>0.00863425925925926</v>
                </pt>
                <pt idx="722">
                  <v>0.00864583333333333</v>
                </pt>
                <pt idx="723">
                  <v>0.008657407407407411</v>
                </pt>
                <pt idx="724">
                  <v>0.008668981481481481</v>
                </pt>
                <pt idx="725">
                  <v>0.008680555555555559</v>
                </pt>
                <pt idx="726">
                  <v>0.00869212962962963</v>
                </pt>
                <pt idx="727">
                  <v>0.0087037037037037</v>
                </pt>
                <pt idx="728">
                  <v>0.00871527777777778</v>
                </pt>
                <pt idx="729">
                  <v>0.00872685185185185</v>
                </pt>
                <pt idx="730">
                  <v>0.008738425925925931</v>
                </pt>
                <pt idx="731">
                  <v>0.008750000000000001</v>
                </pt>
                <pt idx="732">
                  <v>0.008761574074074069</v>
                </pt>
                <pt idx="733">
                  <v>0.00877314814814815</v>
                </pt>
                <pt idx="734">
                  <v>0.00878472222222222</v>
                </pt>
                <pt idx="735">
                  <v>0.0087962962962963</v>
                </pt>
                <pt idx="736">
                  <v>0.00880787037037037</v>
                </pt>
                <pt idx="737">
                  <v>0.008819444444444441</v>
                </pt>
                <pt idx="738">
                  <v>0.008831018518518519</v>
                </pt>
                <pt idx="739">
                  <v>0.008842592592592589</v>
                </pt>
                <pt idx="740">
                  <v>0.00885416666666667</v>
                </pt>
                <pt idx="741">
                  <v>0.00886574074074074</v>
                </pt>
                <pt idx="742">
                  <v>0.008877314814814821</v>
                </pt>
                <pt idx="743">
                  <v>0.008888888888888891</v>
                </pt>
                <pt idx="744">
                  <v>0.008900462962962961</v>
                </pt>
                <pt idx="745">
                  <v>0.008912037037037039</v>
                </pt>
                <pt idx="746">
                  <v>0.00892361111111111</v>
                </pt>
                <pt idx="747">
                  <v>0.00893518518518518</v>
                </pt>
                <pt idx="748">
                  <v>0.00894675925925926</v>
                </pt>
                <pt idx="749">
                  <v>0.00895833333333333</v>
                </pt>
                <pt idx="750">
                  <v>0.008969907407407411</v>
                </pt>
                <pt idx="751">
                  <v>0.008981481481481479</v>
                </pt>
                <pt idx="752">
                  <v>0.00899305555555556</v>
                </pt>
                <pt idx="753">
                  <v>0.00900462962962963</v>
                </pt>
                <pt idx="754">
                  <v>0.0090162037037037</v>
                </pt>
                <pt idx="755">
                  <v>0.00902777777777778</v>
                </pt>
                <pt idx="756">
                  <v>0.009039351851851851</v>
                </pt>
                <pt idx="757">
                  <v>0.009050925925925929</v>
                </pt>
                <pt idx="758">
                  <v>0.009062499999999999</v>
                </pt>
                <pt idx="759">
                  <v>0.009074074074074069</v>
                </pt>
                <pt idx="760">
                  <v>0.00908564814814815</v>
                </pt>
                <pt idx="761">
                  <v>0.00909722222222222</v>
                </pt>
                <pt idx="762">
                  <v>0.009108796296296301</v>
                </pt>
                <pt idx="763">
                  <v>0.009120370370370371</v>
                </pt>
                <pt idx="764">
                  <v>0.009131944444444441</v>
                </pt>
                <pt idx="765">
                  <v>0.00914351851851852</v>
                </pt>
                <pt idx="766">
                  <v>0.00915509259259259</v>
                </pt>
                <pt idx="767">
                  <v>0.00916666666666667</v>
                </pt>
                <pt idx="768">
                  <v>0.00917824074074074</v>
                </pt>
                <pt idx="769">
                  <v>0.009189814814814821</v>
                </pt>
                <pt idx="770">
                  <v>0.009201388888888889</v>
                </pt>
                <pt idx="771">
                  <v>0.009212962962962959</v>
                </pt>
                <pt idx="772">
                  <v>0.00922453703703704</v>
                </pt>
                <pt idx="773">
                  <v>0.00923611111111111</v>
                </pt>
                <pt idx="774">
                  <v>0.00924768518518519</v>
                </pt>
                <pt idx="775">
                  <v>0.00925925925925926</v>
                </pt>
                <pt idx="776">
                  <v>0.009270833333333331</v>
                </pt>
                <pt idx="777">
                  <v>0.009282407407407409</v>
                </pt>
                <pt idx="778">
                  <v>0.009293981481481479</v>
                </pt>
                <pt idx="779">
                  <v>0.00930555555555555</v>
                </pt>
                <pt idx="780">
                  <v>0.00931712962962963</v>
                </pt>
                <pt idx="781">
                  <v>0.0093287037037037</v>
                </pt>
                <pt idx="782">
                  <v>0.009340277777777781</v>
                </pt>
                <pt idx="783">
                  <v>0.009351851851851851</v>
                </pt>
                <pt idx="784">
                  <v>0.00936342592592593</v>
                </pt>
                <pt idx="785">
                  <v>0.009375</v>
                </pt>
                <pt idx="786">
                  <v>0.00938657407407407</v>
                </pt>
                <pt idx="787">
                  <v>0.00939814814814815</v>
                </pt>
                <pt idx="788">
                  <v>0.00940972222222222</v>
                </pt>
                <pt idx="789">
                  <v>0.009421296296296299</v>
                </pt>
                <pt idx="790">
                  <v>0.009432870370370369</v>
                </pt>
                <pt idx="791">
                  <v>0.009444444444444439</v>
                </pt>
                <pt idx="792">
                  <v>0.00945601851851852</v>
                </pt>
                <pt idx="793">
                  <v>0.00946759259259259</v>
                </pt>
                <pt idx="794">
                  <v>0.00947916666666667</v>
                </pt>
                <pt idx="795">
                  <v>0.009490740740740741</v>
                </pt>
                <pt idx="796">
                  <v>0.009502314814814811</v>
                </pt>
                <pt idx="797">
                  <v>0.009513888888888889</v>
                </pt>
                <pt idx="798">
                  <v>0.00952546296296296</v>
                </pt>
                <pt idx="799">
                  <v>0.00953703703703704</v>
                </pt>
                <pt idx="800">
                  <v>0.00954861111111111</v>
                </pt>
                <pt idx="801">
                  <v>0.009560185185185191</v>
                </pt>
                <pt idx="802">
                  <v>0.009571759259259261</v>
                </pt>
                <pt idx="803">
                  <v>0.009583333333333331</v>
                </pt>
                <pt idx="804">
                  <v>0.00959490740740741</v>
                </pt>
                <pt idx="805">
                  <v>0.00960648148148148</v>
                </pt>
                <pt idx="806">
                  <v>0.00961805555555556</v>
                </pt>
                <pt idx="807">
                  <v>0.00962962962962963</v>
                </pt>
                <pt idx="808">
                  <v>0.0096412037037037</v>
                </pt>
                <pt idx="809">
                  <v>0.009652777777777779</v>
                </pt>
                <pt idx="810">
                  <v>0.009664351851851849</v>
                </pt>
                <pt idx="811">
                  <v>0.00967592592592593</v>
                </pt>
                <pt idx="812">
                  <v>0.0096875</v>
                </pt>
                <pt idx="813">
                  <v>0.00969907407407407</v>
                </pt>
                <pt idx="814">
                  <v>0.009710648148148151</v>
                </pt>
                <pt idx="815">
                  <v>0.009722222222222221</v>
                </pt>
                <pt idx="816">
                  <v>0.009733796296296299</v>
                </pt>
                <pt idx="817">
                  <v>0.00974537037037037</v>
                </pt>
                <pt idx="818">
                  <v>0.00975694444444444</v>
                </pt>
                <pt idx="819">
                  <v>0.00976851851851852</v>
                </pt>
                <pt idx="820">
                  <v>0.00978009259259259</v>
                </pt>
                <pt idx="821">
                  <v>0.009791666666666671</v>
                </pt>
                <pt idx="822">
                  <v>0.009803240740740741</v>
                </pt>
                <pt idx="823">
                  <v>0.009814814814814809</v>
                </pt>
                <pt idx="824">
                  <v>0.00982638888888889</v>
                </pt>
                <pt idx="825">
                  <v>0.00983796296296296</v>
                </pt>
                <pt idx="826">
                  <v>0.00984953703703704</v>
                </pt>
                <pt idx="827">
                  <v>0.00986111111111111</v>
                </pt>
                <pt idx="828">
                  <v>0.009872685185185189</v>
                </pt>
                <pt idx="829">
                  <v>0.009884259259259259</v>
                </pt>
                <pt idx="830">
                  <v>0.009895833333333329</v>
                </pt>
                <pt idx="831">
                  <v>0.00990740740740741</v>
                </pt>
                <pt idx="832">
                  <v>0.00991898148148148</v>
                </pt>
                <pt idx="833">
                  <v>0.009930555555555561</v>
                </pt>
                <pt idx="834">
                  <v>0.009942129629629631</v>
                </pt>
                <pt idx="835">
                  <v>0.009953703703703701</v>
                </pt>
                <pt idx="836">
                  <v>0.009965277777777779</v>
                </pt>
                <pt idx="837">
                  <v>0.00997685185185185</v>
                </pt>
                <pt idx="838">
                  <v>0.00998842592592593</v>
                </pt>
                <pt idx="839">
                  <v>0.01</v>
                </pt>
                <pt idx="840">
                  <v>0.0100115740740741</v>
                </pt>
                <pt idx="841">
                  <v>0.0100231481481482</v>
                </pt>
                <pt idx="842">
                  <v>0.0100347222222222</v>
                </pt>
                <pt idx="843">
                  <v>0.0100462962962963</v>
                </pt>
                <pt idx="844">
                  <v>0.0100578703703704</v>
                </pt>
                <pt idx="845">
                  <v>0.0100694444444445</v>
                </pt>
                <pt idx="846">
                  <v>0.0100810185185185</v>
                </pt>
                <pt idx="847">
                  <v>0.0100925925925926</v>
                </pt>
                <pt idx="848">
                  <v>0.0101041666666667</v>
                </pt>
                <pt idx="849">
                  <v>0.0101157407407407</v>
                </pt>
                <pt idx="850">
                  <v>0.0101273148148148</v>
                </pt>
                <pt idx="851">
                  <v>0.0101388888888889</v>
                </pt>
                <pt idx="852">
                  <v>0.010150462962963</v>
                </pt>
                <pt idx="853">
                  <v>0.010162037037037</v>
                </pt>
                <pt idx="854">
                  <v>0.0101736111111111</v>
                </pt>
                <pt idx="855">
                  <v>0.0101851851851852</v>
                </pt>
                <pt idx="856">
                  <v>0.0101967592592593</v>
                </pt>
                <pt idx="857">
                  <v>0.0102083333333333</v>
                </pt>
                <pt idx="858">
                  <v>0.0102199074074074</v>
                </pt>
                <pt idx="859">
                  <v>0.0102314814814815</v>
                </pt>
                <pt idx="860">
                  <v>0.0102430555555556</v>
                </pt>
                <pt idx="861">
                  <v>0.0102546296296296</v>
                </pt>
                <pt idx="862">
                  <v>0.0102662037037037</v>
                </pt>
                <pt idx="863">
                  <v>0.0102777777777778</v>
                </pt>
                <pt idx="864">
                  <v>0.0102893518518518</v>
                </pt>
                <pt idx="865">
                  <v>0.0103009259259259</v>
                </pt>
                <pt idx="866">
                  <v>0.0103125</v>
                </pt>
                <pt idx="867">
                  <v>0.0103240740740741</v>
                </pt>
                <pt idx="868">
                  <v>0.0103356481481481</v>
                </pt>
                <pt idx="869">
                  <v>0.0103472222222222</v>
                </pt>
                <pt idx="870">
                  <v>0.0103587962962963</v>
                </pt>
                <pt idx="871">
                  <v>0.0103703703703704</v>
                </pt>
                <pt idx="872">
                  <v>0.0103819444444444</v>
                </pt>
                <pt idx="873">
                  <v>0.0103935185185185</v>
                </pt>
                <pt idx="874">
                  <v>0.0104050925925926</v>
                </pt>
                <pt idx="875">
                  <v>0.0104166666666667</v>
                </pt>
                <pt idx="876">
                  <v>0.0104282407407407</v>
                </pt>
                <pt idx="877">
                  <v>0.0104398148148148</v>
                </pt>
                <pt idx="878">
                  <v>0.0104513888888889</v>
                </pt>
                <pt idx="879">
                  <v>0.010462962962963</v>
                </pt>
                <pt idx="880">
                  <v>0.010474537037037</v>
                </pt>
                <pt idx="881">
                  <v>0.0104861111111111</v>
                </pt>
                <pt idx="882">
                  <v>0.0104976851851852</v>
                </pt>
                <pt idx="883">
                  <v>0.0105092592592593</v>
                </pt>
                <pt idx="884">
                  <v>0.0105208333333333</v>
                </pt>
                <pt idx="885">
                  <v>0.0105324074074074</v>
                </pt>
                <pt idx="886">
                  <v>0.0105439814814815</v>
                </pt>
                <pt idx="887">
                  <v>0.0105555555555556</v>
                </pt>
                <pt idx="888">
                  <v>0.0105671296296296</v>
                </pt>
                <pt idx="889">
                  <v>0.0105787037037037</v>
                </pt>
                <pt idx="890">
                  <v>0.0105902777777778</v>
                </pt>
                <pt idx="891">
                  <v>0.0106018518518519</v>
                </pt>
                <pt idx="892">
                  <v>0.0106134259259259</v>
                </pt>
                <pt idx="893">
                  <v>0.010625</v>
                </pt>
                <pt idx="894">
                  <v>0.0106365740740741</v>
                </pt>
                <pt idx="895">
                  <v>0.0106481481481481</v>
                </pt>
                <pt idx="896">
                  <v>0.0106597222222222</v>
                </pt>
                <pt idx="897">
                  <v>0.0106712962962963</v>
                </pt>
                <pt idx="898">
                  <v>0.0106828703703704</v>
                </pt>
                <pt idx="899">
                  <v>0.0106944444444444</v>
                </pt>
                <pt idx="900">
                  <v>0.0107060185185185</v>
                </pt>
                <pt idx="901">
                  <v>0.0107175925925926</v>
                </pt>
                <pt idx="902">
                  <v>0.0107291666666667</v>
                </pt>
                <pt idx="903">
                  <v>0.0107407407407407</v>
                </pt>
                <pt idx="904">
                  <v>0.0107523148148148</v>
                </pt>
                <pt idx="905">
                  <v>0.0107638888888889</v>
                </pt>
                <pt idx="906">
                  <v>0.010775462962963</v>
                </pt>
                <pt idx="907">
                  <v>0.010787037037037</v>
                </pt>
                <pt idx="908">
                  <v>0.0107986111111111</v>
                </pt>
                <pt idx="909">
                  <v>0.0108101851851852</v>
                </pt>
                <pt idx="910">
                  <v>0.0108217592592593</v>
                </pt>
                <pt idx="911">
                  <v>0.0108333333333333</v>
                </pt>
                <pt idx="912">
                  <v>0.0108449074074074</v>
                </pt>
                <pt idx="913">
                  <v>0.0108564814814815</v>
                </pt>
                <pt idx="914">
                  <v>0.0108680555555556</v>
                </pt>
                <pt idx="915">
                  <v>0.0108796296296296</v>
                </pt>
                <pt idx="916">
                  <v>0.0108912037037037</v>
                </pt>
                <pt idx="917">
                  <v>0.0109027777777778</v>
                </pt>
                <pt idx="918">
                  <v>0.0109143518518519</v>
                </pt>
                <pt idx="919">
                  <v>0.0109259259259259</v>
                </pt>
                <pt idx="920">
                  <v>0.0109375</v>
                </pt>
                <pt idx="921">
                  <v>0.0109490740740741</v>
                </pt>
                <pt idx="922">
                  <v>0.0109606481481481</v>
                </pt>
                <pt idx="923">
                  <v>0.0109722222222222</v>
                </pt>
                <pt idx="924">
                  <v>0.0109837962962963</v>
                </pt>
                <pt idx="925">
                  <v>0.0109953703703704</v>
                </pt>
                <pt idx="926">
                  <v>0.0110069444444444</v>
                </pt>
                <pt idx="927">
                  <v>0.0110185185185185</v>
                </pt>
                <pt idx="928">
                  <v>0.0110300925925926</v>
                </pt>
                <pt idx="929">
                  <v>0.0110416666666667</v>
                </pt>
                <pt idx="930">
                  <v>0.0110532407407407</v>
                </pt>
                <pt idx="931">
                  <v>0.0110648148148148</v>
                </pt>
                <pt idx="932">
                  <v>0.0110763888888889</v>
                </pt>
                <pt idx="933">
                  <v>0.011087962962963</v>
                </pt>
                <pt idx="934">
                  <v>0.011099537037037</v>
                </pt>
                <pt idx="935">
                  <v>0.0111111111111111</v>
                </pt>
                <pt idx="936">
                  <v>0.0111226851851852</v>
                </pt>
                <pt idx="937">
                  <v>0.0111342592592593</v>
                </pt>
                <pt idx="938">
                  <v>0.0111458333333333</v>
                </pt>
                <pt idx="939">
                  <v>0.0111574074074074</v>
                </pt>
                <pt idx="940">
                  <v>0.0111689814814815</v>
                </pt>
                <pt idx="941">
                  <v>0.0111805555555555</v>
                </pt>
              </numCache>
            </numRef>
          </xVal>
          <yVal>
            <numRef>
              <f>'8. Winding Heating'!$M$37:$M$978</f>
              <numCache>
                <formatCode>General</formatCode>
                <ptCount val="942"/>
              </numCache>
            </numRef>
          </yVal>
          <smooth val="0"/>
        </ser>
        <dLbls>
          <showLegendKey val="0"/>
          <showVal val="0"/>
          <showCatName val="0"/>
          <showSerName val="0"/>
          <showPercent val="0"/>
          <showBubbleSize val="0"/>
        </dLbls>
        <axId val="102027264"/>
        <axId val="102028800"/>
      </scatterChart>
      <valAx>
        <axId val="102027264"/>
        <scaling>
          <orientation val="minMax"/>
        </scaling>
        <delete val="0"/>
        <axPos val="b"/>
        <numFmt formatCode="h:mm:ss.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2028800"/>
        <crosses val="autoZero"/>
        <crossBetween val="midCat"/>
      </valAx>
      <valAx>
        <axId val="102028800"/>
        <scaling>
          <orientation val="minMax"/>
        </scaling>
        <delete val="0"/>
        <axPos val="l"/>
        <majorGridlines/>
        <numFmt formatCode="General"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2027264"/>
        <crosses val="autoZero"/>
        <crossBetween val="midCat"/>
        <majorUnit val="10"/>
      </valAx>
    </plotArea>
    <legend>
      <legendPos val="r"/>
      <layout/>
      <overlay val="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6.xml><?xml version="1.0" encoding="utf-8"?>
<chartSpace xmlns="http://schemas.openxmlformats.org/drawingml/2006/chart">
  <chart>
    <plotArea>
      <layout/>
      <lineChart>
        <grouping val="standard"/>
        <varyColors val="0"/>
        <ser>
          <idx val="0"/>
          <order val="0"/>
          <tx>
            <strRef>
              <f>'11. High Speed'!$J$5</f>
              <strCache>
                <ptCount val="1"/>
                <pt idx="0">
                  <v>RTD1</v>
                </pt>
              </strCache>
            </strRef>
          </tx>
          <spPr>
            <a:ln xmlns:a="http://schemas.openxmlformats.org/drawingml/2006/main" algn="ctr" cap="rnd" cmpd="sng" w="28575">
              <a:solidFill>
                <a:schemeClr val="accent1">
                  <a:shade val="95000"/>
                  <a:satMod val="105000"/>
                </a:schemeClr>
              </a:solidFill>
              <a:prstDash val="solid"/>
              <a:round/>
            </a:ln>
          </spPr>
          <marker>
            <symbol val="none"/>
            <spPr>
              <a:ln xmlns:a="http://schemas.openxmlformats.org/drawingml/2006/main">
                <a:prstDash val="solid"/>
              </a:ln>
            </spPr>
          </marker>
          <dLbls>
            <delete val="1"/>
          </dLbls>
          <cat>
            <numRef>
              <f>'11. High Speed'!$I$6:$I$410</f>
              <numCache>
                <formatCode>h:mm:ss</formatCode>
                <ptCount val="405"/>
                <pt idx="0">
                  <v>-5</v>
                </pt>
                <pt idx="1">
                  <v>1.15740740740741e-05</v>
                </pt>
                <pt idx="2">
                  <v>2.31481481481482e-05</v>
                </pt>
                <pt idx="3">
                  <v>3.47222222222222e-05</v>
                </pt>
                <pt idx="4">
                  <v>4.62962962962963e-05</v>
                </pt>
                <pt idx="5">
                  <v>5.78703703703704e-05</v>
                </pt>
                <pt idx="6">
                  <v>6.94444444444444e-05</v>
                </pt>
                <pt idx="7">
                  <v>8.10185185185185e-05</v>
                </pt>
                <pt idx="8">
                  <v>9.25925925925926e-05</v>
                </pt>
                <pt idx="9">
                  <v>0.000104166666666667</v>
                </pt>
                <pt idx="10">
                  <v>0.000115740740740741</v>
                </pt>
                <pt idx="11">
                  <v>0.000127314814814815</v>
                </pt>
                <pt idx="12">
                  <v>0.000138888888888889</v>
                </pt>
                <pt idx="13">
                  <v>0.000150462962962963</v>
                </pt>
                <pt idx="14">
                  <v>0.000162037037037037</v>
                </pt>
                <pt idx="15">
                  <v>0.000173611111111111</v>
                </pt>
                <pt idx="16">
                  <v>0.000185185185185185</v>
                </pt>
                <pt idx="17">
                  <v>0.000196759259259259</v>
                </pt>
                <pt idx="18">
                  <v>0.000208333333333333</v>
                </pt>
                <pt idx="19">
                  <v>0.000219907407407407</v>
                </pt>
                <pt idx="20">
                  <v>0.000231481481481481</v>
                </pt>
                <pt idx="21">
                  <v>0.000243055555555555</v>
                </pt>
                <pt idx="22">
                  <v>0.00025462962962963</v>
                </pt>
                <pt idx="23">
                  <v>0.000266203703703704</v>
                </pt>
                <pt idx="24">
                  <v>0.000277777777777778</v>
                </pt>
                <pt idx="25">
                  <v>0.000289351851851852</v>
                </pt>
                <pt idx="26">
                  <v>0.000300925925925926</v>
                </pt>
                <pt idx="27">
                  <v>0.0003125</v>
                </pt>
                <pt idx="28">
                  <v>0.000324074074074074</v>
                </pt>
                <pt idx="29">
                  <v>0.000335648148148148</v>
                </pt>
                <pt idx="30">
                  <v>0.000347222222222222</v>
                </pt>
                <pt idx="31">
                  <v>0.000358796296296296</v>
                </pt>
                <pt idx="32">
                  <v>0.00037037037037037</v>
                </pt>
                <pt idx="33">
                  <v>0.000381944444444445</v>
                </pt>
                <pt idx="34">
                  <v>0.000393518518518519</v>
                </pt>
                <pt idx="35">
                  <v>0.000405092592592593</v>
                </pt>
                <pt idx="36">
                  <v>0.000416666666666667</v>
                </pt>
                <pt idx="37">
                  <v>0.000428240740740741</v>
                </pt>
                <pt idx="38">
                  <v>0.000439814814814815</v>
                </pt>
                <pt idx="39">
                  <v>0.000451388888888889</v>
                </pt>
                <pt idx="40">
                  <v>0.000462962962962963</v>
                </pt>
                <pt idx="41">
                  <v>0.000474537037037037</v>
                </pt>
                <pt idx="42">
                  <v>0.000486111111111111</v>
                </pt>
                <pt idx="43">
                  <v>0.000497685185185185</v>
                </pt>
                <pt idx="44">
                  <v>0.000509259259259259</v>
                </pt>
                <pt idx="45">
                  <v>0.000520833333333333</v>
                </pt>
                <pt idx="46">
                  <v>0.000532407407407407</v>
                </pt>
                <pt idx="47">
                  <v>0.000543981481481481</v>
                </pt>
                <pt idx="48">
                  <v>0.000555555555555556</v>
                </pt>
                <pt idx="49">
                  <v>0.00056712962962963</v>
                </pt>
                <pt idx="50">
                  <v>0.000578703703703704</v>
                </pt>
                <pt idx="51">
                  <v>0.000590277777777778</v>
                </pt>
                <pt idx="52">
                  <v>0.000601851851851852</v>
                </pt>
                <pt idx="53">
                  <v>0.000613425925925926</v>
                </pt>
                <pt idx="54">
                  <v>0.000625</v>
                </pt>
                <pt idx="55">
                  <v>0.000636574074074074</v>
                </pt>
                <pt idx="56">
                  <v>0.000648148148148148</v>
                </pt>
                <pt idx="57">
                  <v>0.000659722222222222</v>
                </pt>
                <pt idx="58">
                  <v>0.000671296296296296</v>
                </pt>
                <pt idx="59">
                  <v>0.00068287037037037</v>
                </pt>
                <pt idx="60">
                  <v>0.000694444444444444</v>
                </pt>
                <pt idx="61">
                  <v>0.000706018518518518</v>
                </pt>
                <pt idx="62">
                  <v>0.000717592592592593</v>
                </pt>
                <pt idx="63">
                  <v>0.000729166666666667</v>
                </pt>
                <pt idx="64">
                  <v>0.000740740740740741</v>
                </pt>
                <pt idx="65">
                  <v>0.000752314814814815</v>
                </pt>
                <pt idx="66">
                  <v>0.000763888888888889</v>
                </pt>
                <pt idx="67">
                  <v>0.000775462962962963</v>
                </pt>
                <pt idx="68">
                  <v>0.000787037037037037</v>
                </pt>
                <pt idx="69">
                  <v>0.000798611111111111</v>
                </pt>
                <pt idx="70">
                  <v>0.0008101851851851851</v>
                </pt>
                <pt idx="71">
                  <v>0.0008217592592592589</v>
                </pt>
                <pt idx="72">
                  <v>0.000833333333333333</v>
                </pt>
                <pt idx="73">
                  <v>0.000844907407407407</v>
                </pt>
                <pt idx="74">
                  <v>0.000856481481481482</v>
                </pt>
                <pt idx="75">
                  <v>0.000868055555555556</v>
                </pt>
                <pt idx="76">
                  <v>0.0008796296296296301</v>
                </pt>
                <pt idx="77">
                  <v>0.0008912037037037039</v>
                </pt>
                <pt idx="78">
                  <v>0.000902777777777778</v>
                </pt>
                <pt idx="79">
                  <v>0.000914351851851852</v>
                </pt>
                <pt idx="80">
                  <v>0.000925925925925926</v>
                </pt>
                <pt idx="81">
                  <v>0.0009375</v>
                </pt>
                <pt idx="82">
                  <v>0.000949074074074074</v>
                </pt>
                <pt idx="83">
                  <v>0.000960648148148148</v>
                </pt>
                <pt idx="84">
                  <v>0.000972222222222222</v>
                </pt>
                <pt idx="85">
                  <v>0.000983796296296296</v>
                </pt>
                <pt idx="86">
                  <v>0.00099537037037037</v>
                </pt>
                <pt idx="87">
                  <v>0.00100694444444444</v>
                </pt>
                <pt idx="88">
                  <v>0.00101851851851852</v>
                </pt>
                <pt idx="89">
                  <v>0.00103009259259259</v>
                </pt>
                <pt idx="90">
                  <v>0.00104166666666667</v>
                </pt>
                <pt idx="91">
                  <v>0.00105324074074074</v>
                </pt>
                <pt idx="92">
                  <v>0.00106481481481482</v>
                </pt>
                <pt idx="93">
                  <v>0.00107638888888889</v>
                </pt>
                <pt idx="94">
                  <v>0.00108796296296296</v>
                </pt>
                <pt idx="95">
                  <v>0.00109953703703704</v>
                </pt>
                <pt idx="96">
                  <v>0.00111111111111111</v>
                </pt>
                <pt idx="97">
                  <v>0.00112268518518518</v>
                </pt>
                <pt idx="98">
                  <v>0.00113425925925926</v>
                </pt>
                <pt idx="99">
                  <v>0.00114583333333333</v>
                </pt>
                <pt idx="100">
                  <v>0.00115740740740741</v>
                </pt>
                <pt idx="101">
                  <v>0.00116898148148148</v>
                </pt>
                <pt idx="102">
                  <v>0.00118055555555556</v>
                </pt>
                <pt idx="103">
                  <v>0.00119212962962963</v>
                </pt>
                <pt idx="104">
                  <v>0.0012037037037037</v>
                </pt>
                <pt idx="105">
                  <v>0.00121527777777778</v>
                </pt>
                <pt idx="106">
                  <v>0.00122685185185185</v>
                </pt>
                <pt idx="107">
                  <v>0.00123842592592593</v>
                </pt>
                <pt idx="108">
                  <v>0.00125</v>
                </pt>
                <pt idx="109">
                  <v>0.00126157407407407</v>
                </pt>
                <pt idx="110">
                  <v>0.00127314814814815</v>
                </pt>
                <pt idx="111">
                  <v>0.00128472222222222</v>
                </pt>
                <pt idx="112">
                  <v>0.0012962962962963</v>
                </pt>
                <pt idx="113">
                  <v>0.00130787037037037</v>
                </pt>
                <pt idx="114">
                  <v>0.00131944444444444</v>
                </pt>
                <pt idx="115">
                  <v>0.00133101851851852</v>
                </pt>
                <pt idx="116">
                  <v>0.00134259259259259</v>
                </pt>
                <pt idx="117">
                  <v>0.00135416666666667</v>
                </pt>
                <pt idx="118">
                  <v>0.00136574074074074</v>
                </pt>
                <pt idx="119">
                  <v>0.00137731481481481</v>
                </pt>
                <pt idx="120">
                  <v>0.00138888888888889</v>
                </pt>
                <pt idx="121">
                  <v>0.00140046296296296</v>
                </pt>
                <pt idx="122">
                  <v>0.00141203703703704</v>
                </pt>
                <pt idx="123">
                  <v>0.00142361111111111</v>
                </pt>
                <pt idx="124">
                  <v>0.00143518518518518</v>
                </pt>
                <pt idx="125">
                  <v>0.00144675925925926</v>
                </pt>
                <pt idx="126">
                  <v>0.00145833333333333</v>
                </pt>
                <pt idx="127">
                  <v>0.00146990740740741</v>
                </pt>
                <pt idx="128">
                  <v>0.00148148148148148</v>
                </pt>
                <pt idx="129">
                  <v>0.00149305555555556</v>
                </pt>
                <pt idx="130">
                  <v>0.00150462962962963</v>
                </pt>
                <pt idx="131">
                  <v>0.0015162037037037</v>
                </pt>
                <pt idx="132">
                  <v>0.00152777777777778</v>
                </pt>
                <pt idx="133">
                  <v>0.00153935185185185</v>
                </pt>
                <pt idx="134">
                  <v>0.00155092592592593</v>
                </pt>
                <pt idx="135">
                  <v>0.0015625</v>
                </pt>
                <pt idx="136">
                  <v>0.00157407407407407</v>
                </pt>
                <pt idx="137">
                  <v>0.00158564814814815</v>
                </pt>
                <pt idx="138">
                  <v>0.00159722222222222</v>
                </pt>
                <pt idx="139">
                  <v>0.0016087962962963</v>
                </pt>
                <pt idx="140">
                  <v>0.00162037037037037</v>
                </pt>
                <pt idx="141">
                  <v>0.00163194444444444</v>
                </pt>
                <pt idx="142">
                  <v>0.00164351851851852</v>
                </pt>
                <pt idx="143">
                  <v>0.00165509259259259</v>
                </pt>
                <pt idx="144">
                  <v>0.00166666666666667</v>
                </pt>
                <pt idx="145">
                  <v>0.00167824074074074</v>
                </pt>
                <pt idx="146">
                  <v>0.00168981481481482</v>
                </pt>
                <pt idx="147">
                  <v>0.00170138888888889</v>
                </pt>
                <pt idx="148">
                  <v>0.00171296296296296</v>
                </pt>
                <pt idx="149">
                  <v>0.00172453703703704</v>
                </pt>
                <pt idx="150">
                  <v>0.00173611111111111</v>
                </pt>
                <pt idx="151">
                  <v>0.00174768518518519</v>
                </pt>
                <pt idx="152">
                  <v>0.00175925925925926</v>
                </pt>
                <pt idx="153">
                  <v>0.00177083333333333</v>
                </pt>
                <pt idx="154">
                  <v>0.00178240740740741</v>
                </pt>
                <pt idx="155">
                  <v>0.00179398148148148</v>
                </pt>
                <pt idx="156">
                  <v>0.00180555555555556</v>
                </pt>
                <pt idx="157">
                  <v>0.00181712962962963</v>
                </pt>
                <pt idx="158">
                  <v>0.0018287037037037</v>
                </pt>
                <pt idx="159">
                  <v>0.00184027777777778</v>
                </pt>
                <pt idx="160">
                  <v>0.00185185185185185</v>
                </pt>
                <pt idx="161">
                  <v>0.00186342592592593</v>
                </pt>
                <pt idx="162">
                  <v>0.001875</v>
                </pt>
                <pt idx="163">
                  <v>0.00188657407407407</v>
                </pt>
                <pt idx="164">
                  <v>0.00189814814814815</v>
                </pt>
                <pt idx="165">
                  <v>0.00190972222222222</v>
                </pt>
                <pt idx="166">
                  <v>0.0019212962962963</v>
                </pt>
                <pt idx="167">
                  <v>0.00193287037037037</v>
                </pt>
                <pt idx="168">
                  <v>0.00194444444444444</v>
                </pt>
                <pt idx="169">
                  <v>0.00195601851851852</v>
                </pt>
                <pt idx="170">
                  <v>0.00196759259259259</v>
                </pt>
                <pt idx="171">
                  <v>0.00197916666666667</v>
                </pt>
                <pt idx="172">
                  <v>0.00199074074074074</v>
                </pt>
                <pt idx="173">
                  <v>0.00200231481481481</v>
                </pt>
                <pt idx="174">
                  <v>0.00201388888888889</v>
                </pt>
                <pt idx="175">
                  <v>0.00202546296296296</v>
                </pt>
                <pt idx="176">
                  <v>0.00203703703703704</v>
                </pt>
                <pt idx="177">
                  <v>0.00204861111111111</v>
                </pt>
                <pt idx="178">
                  <v>0.00206018518518518</v>
                </pt>
                <pt idx="179">
                  <v>0.00207175925925926</v>
                </pt>
                <pt idx="180">
                  <v>0.00208333333333333</v>
                </pt>
                <pt idx="181">
                  <v>0.00209490740740741</v>
                </pt>
                <pt idx="182">
                  <v>0.00210648148148148</v>
                </pt>
                <pt idx="183">
                  <v>0.00211805555555556</v>
                </pt>
                <pt idx="184">
                  <v>0.00212962962962963</v>
                </pt>
                <pt idx="185">
                  <v>0.0021412037037037</v>
                </pt>
                <pt idx="186">
                  <v>0.00215277777777778</v>
                </pt>
                <pt idx="187">
                  <v>0.00216435185185185</v>
                </pt>
                <pt idx="188">
                  <v>0.00217592592592593</v>
                </pt>
                <pt idx="189">
                  <v>0.0021875</v>
                </pt>
                <pt idx="190">
                  <v>0.00219907407407407</v>
                </pt>
                <pt idx="191">
                  <v>0.00221064814814815</v>
                </pt>
                <pt idx="192">
                  <v>0.00222222222222222</v>
                </pt>
                <pt idx="193">
                  <v>0.0022337962962963</v>
                </pt>
                <pt idx="194">
                  <v>0.00224537037037037</v>
                </pt>
                <pt idx="195">
                  <v>0.00225694444444444</v>
                </pt>
                <pt idx="196">
                  <v>0.00226851851851852</v>
                </pt>
                <pt idx="197">
                  <v>0.00228009259259259</v>
                </pt>
                <pt idx="198">
                  <v>0.00229166666666667</v>
                </pt>
                <pt idx="199">
                  <v>0.00230324074074074</v>
                </pt>
                <pt idx="200">
                  <v>0.00231481481481482</v>
                </pt>
                <pt idx="201">
                  <v>0.00232638888888889</v>
                </pt>
                <pt idx="202">
                  <v>0.00233796296296296</v>
                </pt>
                <pt idx="203">
                  <v>0.00234953703703704</v>
                </pt>
                <pt idx="204">
                  <v>0.00236111111111111</v>
                </pt>
                <pt idx="205">
                  <v>0.00237268518518519</v>
                </pt>
                <pt idx="206">
                  <v>0.00238425925925926</v>
                </pt>
                <pt idx="207">
                  <v>0.00239583333333333</v>
                </pt>
                <pt idx="208">
                  <v>0.00240740740740741</v>
                </pt>
                <pt idx="209">
                  <v>0.00241898148148148</v>
                </pt>
                <pt idx="210">
                  <v>0.00243055555555556</v>
                </pt>
                <pt idx="211">
                  <v>0.00244212962962963</v>
                </pt>
                <pt idx="212">
                  <v>0.0024537037037037</v>
                </pt>
                <pt idx="213">
                  <v>0.00246527777777778</v>
                </pt>
                <pt idx="214">
                  <v>0.00247685185185185</v>
                </pt>
                <pt idx="215">
                  <v>0.00248842592592593</v>
                </pt>
                <pt idx="216">
                  <v>0.0025</v>
                </pt>
                <pt idx="217">
                  <v>0.00251157407407407</v>
                </pt>
                <pt idx="218">
                  <v>0.00252314814814815</v>
                </pt>
                <pt idx="219">
                  <v>0.00253472222222222</v>
                </pt>
                <pt idx="220">
                  <v>0.0025462962962963</v>
                </pt>
                <pt idx="221">
                  <v>0.00255787037037037</v>
                </pt>
                <pt idx="222">
                  <v>0.00256944444444444</v>
                </pt>
                <pt idx="223">
                  <v>0.00258101851851852</v>
                </pt>
                <pt idx="224">
                  <v>0.00259259259259259</v>
                </pt>
                <pt idx="225">
                  <v>0.00260416666666667</v>
                </pt>
                <pt idx="226">
                  <v>0.00261574074074074</v>
                </pt>
                <pt idx="227">
                  <v>0.00262731481481481</v>
                </pt>
                <pt idx="228">
                  <v>0.00263888888888889</v>
                </pt>
                <pt idx="229">
                  <v>0.00265046296296296</v>
                </pt>
                <pt idx="230">
                  <v>0.00266203703703704</v>
                </pt>
                <pt idx="231">
                  <v>0.00267361111111111</v>
                </pt>
                <pt idx="232">
                  <v>0.00268518518518518</v>
                </pt>
                <pt idx="233">
                  <v>0.00269675925925926</v>
                </pt>
                <pt idx="234">
                  <v>0.00270833333333333</v>
                </pt>
                <pt idx="235">
                  <v>0.00271990740740741</v>
                </pt>
                <pt idx="236">
                  <v>0.00273148148148148</v>
                </pt>
                <pt idx="237">
                  <v>0.00274305555555556</v>
                </pt>
                <pt idx="238">
                  <v>0.00275462962962963</v>
                </pt>
                <pt idx="239">
                  <v>0.0027662037037037</v>
                </pt>
                <pt idx="240">
                  <v>0.00277777777777778</v>
                </pt>
                <pt idx="241">
                  <v>0.00278935185185185</v>
                </pt>
                <pt idx="242">
                  <v>0.00280092592592593</v>
                </pt>
                <pt idx="243">
                  <v>0.0028125</v>
                </pt>
                <pt idx="244">
                  <v>0.00282407407407407</v>
                </pt>
                <pt idx="245">
                  <v>0.00283564814814815</v>
                </pt>
                <pt idx="246">
                  <v>0.00284722222222222</v>
                </pt>
                <pt idx="247">
                  <v>0.0028587962962963</v>
                </pt>
                <pt idx="248">
                  <v>0.00287037037037037</v>
                </pt>
                <pt idx="249">
                  <v>0.00288194444444444</v>
                </pt>
                <pt idx="250">
                  <v>0.00289351851851852</v>
                </pt>
                <pt idx="251">
                  <v>0.00290509259259259</v>
                </pt>
                <pt idx="252">
                  <v>0.00291666666666667</v>
                </pt>
                <pt idx="253">
                  <v>0.00292824074074074</v>
                </pt>
                <pt idx="254">
                  <v>0.00293981481481481</v>
                </pt>
                <pt idx="255">
                  <v>0.00295138888888889</v>
                </pt>
                <pt idx="256">
                  <v>0.00296296296296296</v>
                </pt>
                <pt idx="257">
                  <v>0.00297453703703704</v>
                </pt>
                <pt idx="258">
                  <v>0.00298611111111111</v>
                </pt>
                <pt idx="259">
                  <v>0.00299768518518518</v>
                </pt>
                <pt idx="260">
                  <v>0.00300925925925926</v>
                </pt>
                <pt idx="261">
                  <v>0.00302083333333333</v>
                </pt>
                <pt idx="262">
                  <v>0.00303240740740741</v>
                </pt>
                <pt idx="263">
                  <v>0.00304398148148148</v>
                </pt>
                <pt idx="264">
                  <v>0.00305555555555556</v>
                </pt>
                <pt idx="265">
                  <v>0.00306712962962963</v>
                </pt>
                <pt idx="266">
                  <v>0.0030787037037037</v>
                </pt>
                <pt idx="267">
                  <v>0.00309027777777778</v>
                </pt>
                <pt idx="268">
                  <v>0.00310185185185185</v>
                </pt>
                <pt idx="269">
                  <v>0.00311342592592593</v>
                </pt>
                <pt idx="270">
                  <v>0.003125</v>
                </pt>
                <pt idx="271">
                  <v>0.00313657407407407</v>
                </pt>
                <pt idx="272">
                  <v>0.00314814814814815</v>
                </pt>
                <pt idx="273">
                  <v>0.00315972222222222</v>
                </pt>
                <pt idx="274">
                  <v>0.0031712962962963</v>
                </pt>
                <pt idx="275">
                  <v>0.00318287037037037</v>
                </pt>
                <pt idx="276">
                  <v>0.00319444444444445</v>
                </pt>
                <pt idx="277">
                  <v>0.00320601851851852</v>
                </pt>
                <pt idx="278">
                  <v>0.00321759259259259</v>
                </pt>
                <pt idx="279">
                  <v>0.00322916666666667</v>
                </pt>
                <pt idx="280">
                  <v>0.00324074074074074</v>
                </pt>
                <pt idx="281">
                  <v>0.00325231481481482</v>
                </pt>
                <pt idx="282">
                  <v>0.00326388888888889</v>
                </pt>
                <pt idx="283">
                  <v>0.00327546296296296</v>
                </pt>
                <pt idx="284">
                  <v>0.00328703703703704</v>
                </pt>
                <pt idx="285">
                  <v>0.00329861111111111</v>
                </pt>
                <pt idx="286">
                  <v>0.00331018518518519</v>
                </pt>
                <pt idx="287">
                  <v>0.00332175925925926</v>
                </pt>
                <pt idx="288">
                  <v>0.00333333333333333</v>
                </pt>
                <pt idx="289">
                  <v>0.00334490740740741</v>
                </pt>
                <pt idx="290">
                  <v>0.00335648148148148</v>
                </pt>
                <pt idx="291">
                  <v>0.00336805555555556</v>
                </pt>
                <pt idx="292">
                  <v>0.00337962962962963</v>
                </pt>
                <pt idx="293">
                  <v>0.0033912037037037</v>
                </pt>
                <pt idx="294">
                  <v>0.00340277777777778</v>
                </pt>
                <pt idx="295">
                  <v>0.00341435185185185</v>
                </pt>
                <pt idx="296">
                  <v>0.00342592592592593</v>
                </pt>
                <pt idx="297">
                  <v>0.0034375</v>
                </pt>
                <pt idx="298">
                  <v>0.00344907407407407</v>
                </pt>
                <pt idx="299">
                  <v>0.00346064814814815</v>
                </pt>
                <pt idx="300">
                  <v>0.00347222222222222</v>
                </pt>
                <pt idx="301">
                  <v>0.0034837962962963</v>
                </pt>
                <pt idx="302">
                  <v>0.00349537037037037</v>
                </pt>
                <pt idx="303">
                  <v>0.00350694444444444</v>
                </pt>
                <pt idx="304">
                  <v>0.00351851851851852</v>
                </pt>
                <pt idx="305">
                  <v>0.00353009259259259</v>
                </pt>
                <pt idx="306">
                  <v>0.00354166666666667</v>
                </pt>
                <pt idx="307">
                  <v>0.00355324074074074</v>
                </pt>
                <pt idx="308">
                  <v>0.00356481481481481</v>
                </pt>
                <pt idx="309">
                  <v>0.00357638888888889</v>
                </pt>
                <pt idx="310">
                  <v>0.00358796296296296</v>
                </pt>
                <pt idx="311">
                  <v>0.00359953703703704</v>
                </pt>
                <pt idx="312">
                  <v>0.00361111111111111</v>
                </pt>
                <pt idx="313">
                  <v>0.00362268518518518</v>
                </pt>
                <pt idx="314">
                  <v>0.00363425925925926</v>
                </pt>
                <pt idx="315">
                  <v>0.00364583333333333</v>
                </pt>
                <pt idx="316">
                  <v>0.00365740740740741</v>
                </pt>
                <pt idx="317">
                  <v>0.00366898148148148</v>
                </pt>
                <pt idx="318">
                  <v>0.00368055555555555</v>
                </pt>
                <pt idx="319">
                  <v>0.00369212962962963</v>
                </pt>
                <pt idx="320">
                  <v>0.0037037037037037</v>
                </pt>
                <pt idx="321">
                  <v>0.00371527777777778</v>
                </pt>
                <pt idx="322">
                  <v>0.00372685185185185</v>
                </pt>
                <pt idx="323">
                  <v>0.00373842592592593</v>
                </pt>
                <pt idx="324">
                  <v>0.00375</v>
                </pt>
                <pt idx="325">
                  <v>0.00376157407407407</v>
                </pt>
                <pt idx="326">
                  <v>0.00377314814814815</v>
                </pt>
                <pt idx="327">
                  <v>0.00378472222222222</v>
                </pt>
                <pt idx="328">
                  <v>0.0037962962962963</v>
                </pt>
                <pt idx="329">
                  <v>0.00380787037037037</v>
                </pt>
                <pt idx="330">
                  <v>0.00381944444444444</v>
                </pt>
                <pt idx="331">
                  <v>0.00383101851851852</v>
                </pt>
                <pt idx="332">
                  <v>0.00384259259259259</v>
                </pt>
                <pt idx="333">
                  <v>0.00385416666666667</v>
                </pt>
                <pt idx="334">
                  <v>0.00386574074074074</v>
                </pt>
                <pt idx="335">
                  <v>0.00387731481481482</v>
                </pt>
                <pt idx="336">
                  <v>0.00388888888888889</v>
                </pt>
                <pt idx="337">
                  <v>0.00390046296296296</v>
                </pt>
                <pt idx="338">
                  <v>0.00391203703703704</v>
                </pt>
                <pt idx="339">
                  <v>0.00392361111111111</v>
                </pt>
                <pt idx="340">
                  <v>0.00393518518518518</v>
                </pt>
                <pt idx="341">
                  <v>0.00394675925925926</v>
                </pt>
                <pt idx="342">
                  <v>0.00395833333333333</v>
                </pt>
                <pt idx="343">
                  <v>0.00396990740740741</v>
                </pt>
                <pt idx="344">
                  <v>0.00398148148148148</v>
                </pt>
                <pt idx="345">
                  <v>0.00399305555555556</v>
                </pt>
                <pt idx="346">
                  <v>0.00400462962962963</v>
                </pt>
                <pt idx="347">
                  <v>0.0040162037037037</v>
                </pt>
                <pt idx="348">
                  <v>0.00402777777777778</v>
                </pt>
                <pt idx="349">
                  <v>0.00403935185185185</v>
                </pt>
                <pt idx="350">
                  <v>0.00405092592592593</v>
                </pt>
                <pt idx="351">
                  <v>0.0040625</v>
                </pt>
                <pt idx="352">
                  <v>0.00407407407407407</v>
                </pt>
                <pt idx="353">
                  <v>0.00408564814814815</v>
                </pt>
                <pt idx="354">
                  <v>0.00409722222222222</v>
                </pt>
                <pt idx="355">
                  <v>0.0041087962962963</v>
                </pt>
                <pt idx="356">
                  <v>0.00412037037037037</v>
                </pt>
                <pt idx="357">
                  <v>0.00413194444444444</v>
                </pt>
                <pt idx="358">
                  <v>0.00414351851851852</v>
                </pt>
                <pt idx="359">
                  <v>0.00415509259259259</v>
                </pt>
                <pt idx="360">
                  <v>0.00416666666666667</v>
                </pt>
                <pt idx="361">
                  <v>0.00417824074074074</v>
                </pt>
                <pt idx="362">
                  <v>0.00418981481481481</v>
                </pt>
                <pt idx="363">
                  <v>0.00420138888888889</v>
                </pt>
                <pt idx="364">
                  <v>0.00421296296296296</v>
                </pt>
                <pt idx="365">
                  <v>0.00422453703703704</v>
                </pt>
                <pt idx="366">
                  <v>0.00423611111111111</v>
                </pt>
                <pt idx="367">
                  <v>0.00424768518518519</v>
                </pt>
                <pt idx="368">
                  <v>0.00425925925925926</v>
                </pt>
                <pt idx="369">
                  <v>0.00427083333333333</v>
                </pt>
                <pt idx="370">
                  <v>0.00428240740740741</v>
                </pt>
                <pt idx="371">
                  <v>0.00429398148148148</v>
                </pt>
                <pt idx="372">
                  <v>0.00430555555555556</v>
                </pt>
                <pt idx="373">
                  <v>0.00431712962962963</v>
                </pt>
                <pt idx="374">
                  <v>0.0043287037037037</v>
                </pt>
                <pt idx="375">
                  <v>0.00434027777777778</v>
                </pt>
                <pt idx="376">
                  <v>0.00435185185185185</v>
                </pt>
                <pt idx="377">
                  <v>0.00436342592592593</v>
                </pt>
                <pt idx="378">
                  <v>0.004375</v>
                </pt>
                <pt idx="379">
                  <v>0.00438657407407407</v>
                </pt>
                <pt idx="380">
                  <v>0.00439814814814815</v>
                </pt>
                <pt idx="381">
                  <v>0.00440972222222222</v>
                </pt>
                <pt idx="382">
                  <v>0.0044212962962963</v>
                </pt>
                <pt idx="383">
                  <v>0.00443287037037037</v>
                </pt>
                <pt idx="384">
                  <v>0.00444444444444444</v>
                </pt>
                <pt idx="385">
                  <v>0.00445601851851852</v>
                </pt>
                <pt idx="386">
                  <v>0.00446759259259259</v>
                </pt>
                <pt idx="387">
                  <v>0.00447916666666667</v>
                </pt>
                <pt idx="388">
                  <v>0.00449074074074074</v>
                </pt>
                <pt idx="389">
                  <v>0.00450231481481481</v>
                </pt>
                <pt idx="390">
                  <v>0.00451388888888889</v>
                </pt>
                <pt idx="391">
                  <v>0.00452546296296296</v>
                </pt>
                <pt idx="392">
                  <v>0.00453703703703704</v>
                </pt>
                <pt idx="393">
                  <v>0.00454861111111111</v>
                </pt>
                <pt idx="394">
                  <v>0.00456018518518519</v>
                </pt>
                <pt idx="395">
                  <v>0.00457175925925926</v>
                </pt>
                <pt idx="396">
                  <v>0.00458333333333333</v>
                </pt>
                <pt idx="397">
                  <v>0.00459490740740741</v>
                </pt>
                <pt idx="398">
                  <v>0.00460648148148148</v>
                </pt>
                <pt idx="399">
                  <v>0.00461805555555556</v>
                </pt>
                <pt idx="400">
                  <v>0.00462962962962963</v>
                </pt>
                <pt idx="401">
                  <v>0.0046412037037037</v>
                </pt>
                <pt idx="402">
                  <v>0.00465277777777778</v>
                </pt>
                <pt idx="403">
                  <v>0.00466435185185185</v>
                </pt>
                <pt idx="404">
                  <v>0.00467592592592593</v>
                </pt>
              </numCache>
            </numRef>
          </cat>
          <val>
            <numRef>
              <f>'11. High Speed'!$J$6:$J$306</f>
              <numCache>
                <formatCode>General</formatCode>
                <ptCount val="301"/>
              </numCache>
            </numRef>
          </val>
          <smooth val="0"/>
        </ser>
        <ser>
          <idx val="1"/>
          <order val="1"/>
          <tx>
            <strRef>
              <f>'11. High Speed'!$K$5</f>
              <strCache>
                <ptCount val="1"/>
                <pt idx="0">
                  <v>RTD2</v>
                </pt>
              </strCache>
            </strRef>
          </tx>
          <spPr>
            <a:ln xmlns:a="http://schemas.openxmlformats.org/drawingml/2006/main" algn="ctr" cap="rnd" cmpd="sng" w="28575">
              <a:solidFill>
                <a:schemeClr val="accent2">
                  <a:shade val="95000"/>
                  <a:satMod val="105000"/>
                </a:schemeClr>
              </a:solidFill>
              <a:prstDash val="solid"/>
              <a:round/>
            </a:ln>
          </spPr>
          <marker>
            <symbol val="none"/>
            <spPr>
              <a:ln xmlns:a="http://schemas.openxmlformats.org/drawingml/2006/main">
                <a:prstDash val="solid"/>
              </a:ln>
            </spPr>
          </marker>
          <dLbls>
            <delete val="1"/>
          </dLbls>
          <cat>
            <numRef>
              <f>'11. High Speed'!$I$6:$I$410</f>
              <numCache>
                <formatCode>h:mm:ss</formatCode>
                <ptCount val="405"/>
                <pt idx="0">
                  <v>-5</v>
                </pt>
                <pt idx="1">
                  <v>1.15740740740741e-05</v>
                </pt>
                <pt idx="2">
                  <v>2.31481481481482e-05</v>
                </pt>
                <pt idx="3">
                  <v>3.47222222222222e-05</v>
                </pt>
                <pt idx="4">
                  <v>4.62962962962963e-05</v>
                </pt>
                <pt idx="5">
                  <v>5.78703703703704e-05</v>
                </pt>
                <pt idx="6">
                  <v>6.94444444444444e-05</v>
                </pt>
                <pt idx="7">
                  <v>8.10185185185185e-05</v>
                </pt>
                <pt idx="8">
                  <v>9.25925925925926e-05</v>
                </pt>
                <pt idx="9">
                  <v>0.000104166666666667</v>
                </pt>
                <pt idx="10">
                  <v>0.000115740740740741</v>
                </pt>
                <pt idx="11">
                  <v>0.000127314814814815</v>
                </pt>
                <pt idx="12">
                  <v>0.000138888888888889</v>
                </pt>
                <pt idx="13">
                  <v>0.000150462962962963</v>
                </pt>
                <pt idx="14">
                  <v>0.000162037037037037</v>
                </pt>
                <pt idx="15">
                  <v>0.000173611111111111</v>
                </pt>
                <pt idx="16">
                  <v>0.000185185185185185</v>
                </pt>
                <pt idx="17">
                  <v>0.000196759259259259</v>
                </pt>
                <pt idx="18">
                  <v>0.000208333333333333</v>
                </pt>
                <pt idx="19">
                  <v>0.000219907407407407</v>
                </pt>
                <pt idx="20">
                  <v>0.000231481481481481</v>
                </pt>
                <pt idx="21">
                  <v>0.000243055555555555</v>
                </pt>
                <pt idx="22">
                  <v>0.00025462962962963</v>
                </pt>
                <pt idx="23">
                  <v>0.000266203703703704</v>
                </pt>
                <pt idx="24">
                  <v>0.000277777777777778</v>
                </pt>
                <pt idx="25">
                  <v>0.000289351851851852</v>
                </pt>
                <pt idx="26">
                  <v>0.000300925925925926</v>
                </pt>
                <pt idx="27">
                  <v>0.0003125</v>
                </pt>
                <pt idx="28">
                  <v>0.000324074074074074</v>
                </pt>
                <pt idx="29">
                  <v>0.000335648148148148</v>
                </pt>
                <pt idx="30">
                  <v>0.000347222222222222</v>
                </pt>
                <pt idx="31">
                  <v>0.000358796296296296</v>
                </pt>
                <pt idx="32">
                  <v>0.00037037037037037</v>
                </pt>
                <pt idx="33">
                  <v>0.000381944444444445</v>
                </pt>
                <pt idx="34">
                  <v>0.000393518518518519</v>
                </pt>
                <pt idx="35">
                  <v>0.000405092592592593</v>
                </pt>
                <pt idx="36">
                  <v>0.000416666666666667</v>
                </pt>
                <pt idx="37">
                  <v>0.000428240740740741</v>
                </pt>
                <pt idx="38">
                  <v>0.000439814814814815</v>
                </pt>
                <pt idx="39">
                  <v>0.000451388888888889</v>
                </pt>
                <pt idx="40">
                  <v>0.000462962962962963</v>
                </pt>
                <pt idx="41">
                  <v>0.000474537037037037</v>
                </pt>
                <pt idx="42">
                  <v>0.000486111111111111</v>
                </pt>
                <pt idx="43">
                  <v>0.000497685185185185</v>
                </pt>
                <pt idx="44">
                  <v>0.000509259259259259</v>
                </pt>
                <pt idx="45">
                  <v>0.000520833333333333</v>
                </pt>
                <pt idx="46">
                  <v>0.000532407407407407</v>
                </pt>
                <pt idx="47">
                  <v>0.000543981481481481</v>
                </pt>
                <pt idx="48">
                  <v>0.000555555555555556</v>
                </pt>
                <pt idx="49">
                  <v>0.00056712962962963</v>
                </pt>
                <pt idx="50">
                  <v>0.000578703703703704</v>
                </pt>
                <pt idx="51">
                  <v>0.000590277777777778</v>
                </pt>
                <pt idx="52">
                  <v>0.000601851851851852</v>
                </pt>
                <pt idx="53">
                  <v>0.000613425925925926</v>
                </pt>
                <pt idx="54">
                  <v>0.000625</v>
                </pt>
                <pt idx="55">
                  <v>0.000636574074074074</v>
                </pt>
                <pt idx="56">
                  <v>0.000648148148148148</v>
                </pt>
                <pt idx="57">
                  <v>0.000659722222222222</v>
                </pt>
                <pt idx="58">
                  <v>0.000671296296296296</v>
                </pt>
                <pt idx="59">
                  <v>0.00068287037037037</v>
                </pt>
                <pt idx="60">
                  <v>0.000694444444444444</v>
                </pt>
                <pt idx="61">
                  <v>0.000706018518518518</v>
                </pt>
                <pt idx="62">
                  <v>0.000717592592592593</v>
                </pt>
                <pt idx="63">
                  <v>0.000729166666666667</v>
                </pt>
                <pt idx="64">
                  <v>0.000740740740740741</v>
                </pt>
                <pt idx="65">
                  <v>0.000752314814814815</v>
                </pt>
                <pt idx="66">
                  <v>0.000763888888888889</v>
                </pt>
                <pt idx="67">
                  <v>0.000775462962962963</v>
                </pt>
                <pt idx="68">
                  <v>0.000787037037037037</v>
                </pt>
                <pt idx="69">
                  <v>0.000798611111111111</v>
                </pt>
                <pt idx="70">
                  <v>0.0008101851851851851</v>
                </pt>
                <pt idx="71">
                  <v>0.0008217592592592589</v>
                </pt>
                <pt idx="72">
                  <v>0.000833333333333333</v>
                </pt>
                <pt idx="73">
                  <v>0.000844907407407407</v>
                </pt>
                <pt idx="74">
                  <v>0.000856481481481482</v>
                </pt>
                <pt idx="75">
                  <v>0.000868055555555556</v>
                </pt>
                <pt idx="76">
                  <v>0.0008796296296296301</v>
                </pt>
                <pt idx="77">
                  <v>0.0008912037037037039</v>
                </pt>
                <pt idx="78">
                  <v>0.000902777777777778</v>
                </pt>
                <pt idx="79">
                  <v>0.000914351851851852</v>
                </pt>
                <pt idx="80">
                  <v>0.000925925925925926</v>
                </pt>
                <pt idx="81">
                  <v>0.0009375</v>
                </pt>
                <pt idx="82">
                  <v>0.000949074074074074</v>
                </pt>
                <pt idx="83">
                  <v>0.000960648148148148</v>
                </pt>
                <pt idx="84">
                  <v>0.000972222222222222</v>
                </pt>
                <pt idx="85">
                  <v>0.000983796296296296</v>
                </pt>
                <pt idx="86">
                  <v>0.00099537037037037</v>
                </pt>
                <pt idx="87">
                  <v>0.00100694444444444</v>
                </pt>
                <pt idx="88">
                  <v>0.00101851851851852</v>
                </pt>
                <pt idx="89">
                  <v>0.00103009259259259</v>
                </pt>
                <pt idx="90">
                  <v>0.00104166666666667</v>
                </pt>
                <pt idx="91">
                  <v>0.00105324074074074</v>
                </pt>
                <pt idx="92">
                  <v>0.00106481481481482</v>
                </pt>
                <pt idx="93">
                  <v>0.00107638888888889</v>
                </pt>
                <pt idx="94">
                  <v>0.00108796296296296</v>
                </pt>
                <pt idx="95">
                  <v>0.00109953703703704</v>
                </pt>
                <pt idx="96">
                  <v>0.00111111111111111</v>
                </pt>
                <pt idx="97">
                  <v>0.00112268518518518</v>
                </pt>
                <pt idx="98">
                  <v>0.00113425925925926</v>
                </pt>
                <pt idx="99">
                  <v>0.00114583333333333</v>
                </pt>
                <pt idx="100">
                  <v>0.00115740740740741</v>
                </pt>
                <pt idx="101">
                  <v>0.00116898148148148</v>
                </pt>
                <pt idx="102">
                  <v>0.00118055555555556</v>
                </pt>
                <pt idx="103">
                  <v>0.00119212962962963</v>
                </pt>
                <pt idx="104">
                  <v>0.0012037037037037</v>
                </pt>
                <pt idx="105">
                  <v>0.00121527777777778</v>
                </pt>
                <pt idx="106">
                  <v>0.00122685185185185</v>
                </pt>
                <pt idx="107">
                  <v>0.00123842592592593</v>
                </pt>
                <pt idx="108">
                  <v>0.00125</v>
                </pt>
                <pt idx="109">
                  <v>0.00126157407407407</v>
                </pt>
                <pt idx="110">
                  <v>0.00127314814814815</v>
                </pt>
                <pt idx="111">
                  <v>0.00128472222222222</v>
                </pt>
                <pt idx="112">
                  <v>0.0012962962962963</v>
                </pt>
                <pt idx="113">
                  <v>0.00130787037037037</v>
                </pt>
                <pt idx="114">
                  <v>0.00131944444444444</v>
                </pt>
                <pt idx="115">
                  <v>0.00133101851851852</v>
                </pt>
                <pt idx="116">
                  <v>0.00134259259259259</v>
                </pt>
                <pt idx="117">
                  <v>0.00135416666666667</v>
                </pt>
                <pt idx="118">
                  <v>0.00136574074074074</v>
                </pt>
                <pt idx="119">
                  <v>0.00137731481481481</v>
                </pt>
                <pt idx="120">
                  <v>0.00138888888888889</v>
                </pt>
                <pt idx="121">
                  <v>0.00140046296296296</v>
                </pt>
                <pt idx="122">
                  <v>0.00141203703703704</v>
                </pt>
                <pt idx="123">
                  <v>0.00142361111111111</v>
                </pt>
                <pt idx="124">
                  <v>0.00143518518518518</v>
                </pt>
                <pt idx="125">
                  <v>0.00144675925925926</v>
                </pt>
                <pt idx="126">
                  <v>0.00145833333333333</v>
                </pt>
                <pt idx="127">
                  <v>0.00146990740740741</v>
                </pt>
                <pt idx="128">
                  <v>0.00148148148148148</v>
                </pt>
                <pt idx="129">
                  <v>0.00149305555555556</v>
                </pt>
                <pt idx="130">
                  <v>0.00150462962962963</v>
                </pt>
                <pt idx="131">
                  <v>0.0015162037037037</v>
                </pt>
                <pt idx="132">
                  <v>0.00152777777777778</v>
                </pt>
                <pt idx="133">
                  <v>0.00153935185185185</v>
                </pt>
                <pt idx="134">
                  <v>0.00155092592592593</v>
                </pt>
                <pt idx="135">
                  <v>0.0015625</v>
                </pt>
                <pt idx="136">
                  <v>0.00157407407407407</v>
                </pt>
                <pt idx="137">
                  <v>0.00158564814814815</v>
                </pt>
                <pt idx="138">
                  <v>0.00159722222222222</v>
                </pt>
                <pt idx="139">
                  <v>0.0016087962962963</v>
                </pt>
                <pt idx="140">
                  <v>0.00162037037037037</v>
                </pt>
                <pt idx="141">
                  <v>0.00163194444444444</v>
                </pt>
                <pt idx="142">
                  <v>0.00164351851851852</v>
                </pt>
                <pt idx="143">
                  <v>0.00165509259259259</v>
                </pt>
                <pt idx="144">
                  <v>0.00166666666666667</v>
                </pt>
                <pt idx="145">
                  <v>0.00167824074074074</v>
                </pt>
                <pt idx="146">
                  <v>0.00168981481481482</v>
                </pt>
                <pt idx="147">
                  <v>0.00170138888888889</v>
                </pt>
                <pt idx="148">
                  <v>0.00171296296296296</v>
                </pt>
                <pt idx="149">
                  <v>0.00172453703703704</v>
                </pt>
                <pt idx="150">
                  <v>0.00173611111111111</v>
                </pt>
                <pt idx="151">
                  <v>0.00174768518518519</v>
                </pt>
                <pt idx="152">
                  <v>0.00175925925925926</v>
                </pt>
                <pt idx="153">
                  <v>0.00177083333333333</v>
                </pt>
                <pt idx="154">
                  <v>0.00178240740740741</v>
                </pt>
                <pt idx="155">
                  <v>0.00179398148148148</v>
                </pt>
                <pt idx="156">
                  <v>0.00180555555555556</v>
                </pt>
                <pt idx="157">
                  <v>0.00181712962962963</v>
                </pt>
                <pt idx="158">
                  <v>0.0018287037037037</v>
                </pt>
                <pt idx="159">
                  <v>0.00184027777777778</v>
                </pt>
                <pt idx="160">
                  <v>0.00185185185185185</v>
                </pt>
                <pt idx="161">
                  <v>0.00186342592592593</v>
                </pt>
                <pt idx="162">
                  <v>0.001875</v>
                </pt>
                <pt idx="163">
                  <v>0.00188657407407407</v>
                </pt>
                <pt idx="164">
                  <v>0.00189814814814815</v>
                </pt>
                <pt idx="165">
                  <v>0.00190972222222222</v>
                </pt>
                <pt idx="166">
                  <v>0.0019212962962963</v>
                </pt>
                <pt idx="167">
                  <v>0.00193287037037037</v>
                </pt>
                <pt idx="168">
                  <v>0.00194444444444444</v>
                </pt>
                <pt idx="169">
                  <v>0.00195601851851852</v>
                </pt>
                <pt idx="170">
                  <v>0.00196759259259259</v>
                </pt>
                <pt idx="171">
                  <v>0.00197916666666667</v>
                </pt>
                <pt idx="172">
                  <v>0.00199074074074074</v>
                </pt>
                <pt idx="173">
                  <v>0.00200231481481481</v>
                </pt>
                <pt idx="174">
                  <v>0.00201388888888889</v>
                </pt>
                <pt idx="175">
                  <v>0.00202546296296296</v>
                </pt>
                <pt idx="176">
                  <v>0.00203703703703704</v>
                </pt>
                <pt idx="177">
                  <v>0.00204861111111111</v>
                </pt>
                <pt idx="178">
                  <v>0.00206018518518518</v>
                </pt>
                <pt idx="179">
                  <v>0.00207175925925926</v>
                </pt>
                <pt idx="180">
                  <v>0.00208333333333333</v>
                </pt>
                <pt idx="181">
                  <v>0.00209490740740741</v>
                </pt>
                <pt idx="182">
                  <v>0.00210648148148148</v>
                </pt>
                <pt idx="183">
                  <v>0.00211805555555556</v>
                </pt>
                <pt idx="184">
                  <v>0.00212962962962963</v>
                </pt>
                <pt idx="185">
                  <v>0.0021412037037037</v>
                </pt>
                <pt idx="186">
                  <v>0.00215277777777778</v>
                </pt>
                <pt idx="187">
                  <v>0.00216435185185185</v>
                </pt>
                <pt idx="188">
                  <v>0.00217592592592593</v>
                </pt>
                <pt idx="189">
                  <v>0.0021875</v>
                </pt>
                <pt idx="190">
                  <v>0.00219907407407407</v>
                </pt>
                <pt idx="191">
                  <v>0.00221064814814815</v>
                </pt>
                <pt idx="192">
                  <v>0.00222222222222222</v>
                </pt>
                <pt idx="193">
                  <v>0.0022337962962963</v>
                </pt>
                <pt idx="194">
                  <v>0.00224537037037037</v>
                </pt>
                <pt idx="195">
                  <v>0.00225694444444444</v>
                </pt>
                <pt idx="196">
                  <v>0.00226851851851852</v>
                </pt>
                <pt idx="197">
                  <v>0.00228009259259259</v>
                </pt>
                <pt idx="198">
                  <v>0.00229166666666667</v>
                </pt>
                <pt idx="199">
                  <v>0.00230324074074074</v>
                </pt>
                <pt idx="200">
                  <v>0.00231481481481482</v>
                </pt>
                <pt idx="201">
                  <v>0.00232638888888889</v>
                </pt>
                <pt idx="202">
                  <v>0.00233796296296296</v>
                </pt>
                <pt idx="203">
                  <v>0.00234953703703704</v>
                </pt>
                <pt idx="204">
                  <v>0.00236111111111111</v>
                </pt>
                <pt idx="205">
                  <v>0.00237268518518519</v>
                </pt>
                <pt idx="206">
                  <v>0.00238425925925926</v>
                </pt>
                <pt idx="207">
                  <v>0.00239583333333333</v>
                </pt>
                <pt idx="208">
                  <v>0.00240740740740741</v>
                </pt>
                <pt idx="209">
                  <v>0.00241898148148148</v>
                </pt>
                <pt idx="210">
                  <v>0.00243055555555556</v>
                </pt>
                <pt idx="211">
                  <v>0.00244212962962963</v>
                </pt>
                <pt idx="212">
                  <v>0.0024537037037037</v>
                </pt>
                <pt idx="213">
                  <v>0.00246527777777778</v>
                </pt>
                <pt idx="214">
                  <v>0.00247685185185185</v>
                </pt>
                <pt idx="215">
                  <v>0.00248842592592593</v>
                </pt>
                <pt idx="216">
                  <v>0.0025</v>
                </pt>
                <pt idx="217">
                  <v>0.00251157407407407</v>
                </pt>
                <pt idx="218">
                  <v>0.00252314814814815</v>
                </pt>
                <pt idx="219">
                  <v>0.00253472222222222</v>
                </pt>
                <pt idx="220">
                  <v>0.0025462962962963</v>
                </pt>
                <pt idx="221">
                  <v>0.00255787037037037</v>
                </pt>
                <pt idx="222">
                  <v>0.00256944444444444</v>
                </pt>
                <pt idx="223">
                  <v>0.00258101851851852</v>
                </pt>
                <pt idx="224">
                  <v>0.00259259259259259</v>
                </pt>
                <pt idx="225">
                  <v>0.00260416666666667</v>
                </pt>
                <pt idx="226">
                  <v>0.00261574074074074</v>
                </pt>
                <pt idx="227">
                  <v>0.00262731481481481</v>
                </pt>
                <pt idx="228">
                  <v>0.00263888888888889</v>
                </pt>
                <pt idx="229">
                  <v>0.00265046296296296</v>
                </pt>
                <pt idx="230">
                  <v>0.00266203703703704</v>
                </pt>
                <pt idx="231">
                  <v>0.00267361111111111</v>
                </pt>
                <pt idx="232">
                  <v>0.00268518518518518</v>
                </pt>
                <pt idx="233">
                  <v>0.00269675925925926</v>
                </pt>
                <pt idx="234">
                  <v>0.00270833333333333</v>
                </pt>
                <pt idx="235">
                  <v>0.00271990740740741</v>
                </pt>
                <pt idx="236">
                  <v>0.00273148148148148</v>
                </pt>
                <pt idx="237">
                  <v>0.00274305555555556</v>
                </pt>
                <pt idx="238">
                  <v>0.00275462962962963</v>
                </pt>
                <pt idx="239">
                  <v>0.0027662037037037</v>
                </pt>
                <pt idx="240">
                  <v>0.00277777777777778</v>
                </pt>
                <pt idx="241">
                  <v>0.00278935185185185</v>
                </pt>
                <pt idx="242">
                  <v>0.00280092592592593</v>
                </pt>
                <pt idx="243">
                  <v>0.0028125</v>
                </pt>
                <pt idx="244">
                  <v>0.00282407407407407</v>
                </pt>
                <pt idx="245">
                  <v>0.00283564814814815</v>
                </pt>
                <pt idx="246">
                  <v>0.00284722222222222</v>
                </pt>
                <pt idx="247">
                  <v>0.0028587962962963</v>
                </pt>
                <pt idx="248">
                  <v>0.00287037037037037</v>
                </pt>
                <pt idx="249">
                  <v>0.00288194444444444</v>
                </pt>
                <pt idx="250">
                  <v>0.00289351851851852</v>
                </pt>
                <pt idx="251">
                  <v>0.00290509259259259</v>
                </pt>
                <pt idx="252">
                  <v>0.00291666666666667</v>
                </pt>
                <pt idx="253">
                  <v>0.00292824074074074</v>
                </pt>
                <pt idx="254">
                  <v>0.00293981481481481</v>
                </pt>
                <pt idx="255">
                  <v>0.00295138888888889</v>
                </pt>
                <pt idx="256">
                  <v>0.00296296296296296</v>
                </pt>
                <pt idx="257">
                  <v>0.00297453703703704</v>
                </pt>
                <pt idx="258">
                  <v>0.00298611111111111</v>
                </pt>
                <pt idx="259">
                  <v>0.00299768518518518</v>
                </pt>
                <pt idx="260">
                  <v>0.00300925925925926</v>
                </pt>
                <pt idx="261">
                  <v>0.00302083333333333</v>
                </pt>
                <pt idx="262">
                  <v>0.00303240740740741</v>
                </pt>
                <pt idx="263">
                  <v>0.00304398148148148</v>
                </pt>
                <pt idx="264">
                  <v>0.00305555555555556</v>
                </pt>
                <pt idx="265">
                  <v>0.00306712962962963</v>
                </pt>
                <pt idx="266">
                  <v>0.0030787037037037</v>
                </pt>
                <pt idx="267">
                  <v>0.00309027777777778</v>
                </pt>
                <pt idx="268">
                  <v>0.00310185185185185</v>
                </pt>
                <pt idx="269">
                  <v>0.00311342592592593</v>
                </pt>
                <pt idx="270">
                  <v>0.003125</v>
                </pt>
                <pt idx="271">
                  <v>0.00313657407407407</v>
                </pt>
                <pt idx="272">
                  <v>0.00314814814814815</v>
                </pt>
                <pt idx="273">
                  <v>0.00315972222222222</v>
                </pt>
                <pt idx="274">
                  <v>0.0031712962962963</v>
                </pt>
                <pt idx="275">
                  <v>0.00318287037037037</v>
                </pt>
                <pt idx="276">
                  <v>0.00319444444444445</v>
                </pt>
                <pt idx="277">
                  <v>0.00320601851851852</v>
                </pt>
                <pt idx="278">
                  <v>0.00321759259259259</v>
                </pt>
                <pt idx="279">
                  <v>0.00322916666666667</v>
                </pt>
                <pt idx="280">
                  <v>0.00324074074074074</v>
                </pt>
                <pt idx="281">
                  <v>0.00325231481481482</v>
                </pt>
                <pt idx="282">
                  <v>0.00326388888888889</v>
                </pt>
                <pt idx="283">
                  <v>0.00327546296296296</v>
                </pt>
                <pt idx="284">
                  <v>0.00328703703703704</v>
                </pt>
                <pt idx="285">
                  <v>0.00329861111111111</v>
                </pt>
                <pt idx="286">
                  <v>0.00331018518518519</v>
                </pt>
                <pt idx="287">
                  <v>0.00332175925925926</v>
                </pt>
                <pt idx="288">
                  <v>0.00333333333333333</v>
                </pt>
                <pt idx="289">
                  <v>0.00334490740740741</v>
                </pt>
                <pt idx="290">
                  <v>0.00335648148148148</v>
                </pt>
                <pt idx="291">
                  <v>0.00336805555555556</v>
                </pt>
                <pt idx="292">
                  <v>0.00337962962962963</v>
                </pt>
                <pt idx="293">
                  <v>0.0033912037037037</v>
                </pt>
                <pt idx="294">
                  <v>0.00340277777777778</v>
                </pt>
                <pt idx="295">
                  <v>0.00341435185185185</v>
                </pt>
                <pt idx="296">
                  <v>0.00342592592592593</v>
                </pt>
                <pt idx="297">
                  <v>0.0034375</v>
                </pt>
                <pt idx="298">
                  <v>0.00344907407407407</v>
                </pt>
                <pt idx="299">
                  <v>0.00346064814814815</v>
                </pt>
                <pt idx="300">
                  <v>0.00347222222222222</v>
                </pt>
                <pt idx="301">
                  <v>0.0034837962962963</v>
                </pt>
                <pt idx="302">
                  <v>0.00349537037037037</v>
                </pt>
                <pt idx="303">
                  <v>0.00350694444444444</v>
                </pt>
                <pt idx="304">
                  <v>0.00351851851851852</v>
                </pt>
                <pt idx="305">
                  <v>0.00353009259259259</v>
                </pt>
                <pt idx="306">
                  <v>0.00354166666666667</v>
                </pt>
                <pt idx="307">
                  <v>0.00355324074074074</v>
                </pt>
                <pt idx="308">
                  <v>0.00356481481481481</v>
                </pt>
                <pt idx="309">
                  <v>0.00357638888888889</v>
                </pt>
                <pt idx="310">
                  <v>0.00358796296296296</v>
                </pt>
                <pt idx="311">
                  <v>0.00359953703703704</v>
                </pt>
                <pt idx="312">
                  <v>0.00361111111111111</v>
                </pt>
                <pt idx="313">
                  <v>0.00362268518518518</v>
                </pt>
                <pt idx="314">
                  <v>0.00363425925925926</v>
                </pt>
                <pt idx="315">
                  <v>0.00364583333333333</v>
                </pt>
                <pt idx="316">
                  <v>0.00365740740740741</v>
                </pt>
                <pt idx="317">
                  <v>0.00366898148148148</v>
                </pt>
                <pt idx="318">
                  <v>0.00368055555555555</v>
                </pt>
                <pt idx="319">
                  <v>0.00369212962962963</v>
                </pt>
                <pt idx="320">
                  <v>0.0037037037037037</v>
                </pt>
                <pt idx="321">
                  <v>0.00371527777777778</v>
                </pt>
                <pt idx="322">
                  <v>0.00372685185185185</v>
                </pt>
                <pt idx="323">
                  <v>0.00373842592592593</v>
                </pt>
                <pt idx="324">
                  <v>0.00375</v>
                </pt>
                <pt idx="325">
                  <v>0.00376157407407407</v>
                </pt>
                <pt idx="326">
                  <v>0.00377314814814815</v>
                </pt>
                <pt idx="327">
                  <v>0.00378472222222222</v>
                </pt>
                <pt idx="328">
                  <v>0.0037962962962963</v>
                </pt>
                <pt idx="329">
                  <v>0.00380787037037037</v>
                </pt>
                <pt idx="330">
                  <v>0.00381944444444444</v>
                </pt>
                <pt idx="331">
                  <v>0.00383101851851852</v>
                </pt>
                <pt idx="332">
                  <v>0.00384259259259259</v>
                </pt>
                <pt idx="333">
                  <v>0.00385416666666667</v>
                </pt>
                <pt idx="334">
                  <v>0.00386574074074074</v>
                </pt>
                <pt idx="335">
                  <v>0.00387731481481482</v>
                </pt>
                <pt idx="336">
                  <v>0.00388888888888889</v>
                </pt>
                <pt idx="337">
                  <v>0.00390046296296296</v>
                </pt>
                <pt idx="338">
                  <v>0.00391203703703704</v>
                </pt>
                <pt idx="339">
                  <v>0.00392361111111111</v>
                </pt>
                <pt idx="340">
                  <v>0.00393518518518518</v>
                </pt>
                <pt idx="341">
                  <v>0.00394675925925926</v>
                </pt>
                <pt idx="342">
                  <v>0.00395833333333333</v>
                </pt>
                <pt idx="343">
                  <v>0.00396990740740741</v>
                </pt>
                <pt idx="344">
                  <v>0.00398148148148148</v>
                </pt>
                <pt idx="345">
                  <v>0.00399305555555556</v>
                </pt>
                <pt idx="346">
                  <v>0.00400462962962963</v>
                </pt>
                <pt idx="347">
                  <v>0.0040162037037037</v>
                </pt>
                <pt idx="348">
                  <v>0.00402777777777778</v>
                </pt>
                <pt idx="349">
                  <v>0.00403935185185185</v>
                </pt>
                <pt idx="350">
                  <v>0.00405092592592593</v>
                </pt>
                <pt idx="351">
                  <v>0.0040625</v>
                </pt>
                <pt idx="352">
                  <v>0.00407407407407407</v>
                </pt>
                <pt idx="353">
                  <v>0.00408564814814815</v>
                </pt>
                <pt idx="354">
                  <v>0.00409722222222222</v>
                </pt>
                <pt idx="355">
                  <v>0.0041087962962963</v>
                </pt>
                <pt idx="356">
                  <v>0.00412037037037037</v>
                </pt>
                <pt idx="357">
                  <v>0.00413194444444444</v>
                </pt>
                <pt idx="358">
                  <v>0.00414351851851852</v>
                </pt>
                <pt idx="359">
                  <v>0.00415509259259259</v>
                </pt>
                <pt idx="360">
                  <v>0.00416666666666667</v>
                </pt>
                <pt idx="361">
                  <v>0.00417824074074074</v>
                </pt>
                <pt idx="362">
                  <v>0.00418981481481481</v>
                </pt>
                <pt idx="363">
                  <v>0.00420138888888889</v>
                </pt>
                <pt idx="364">
                  <v>0.00421296296296296</v>
                </pt>
                <pt idx="365">
                  <v>0.00422453703703704</v>
                </pt>
                <pt idx="366">
                  <v>0.00423611111111111</v>
                </pt>
                <pt idx="367">
                  <v>0.00424768518518519</v>
                </pt>
                <pt idx="368">
                  <v>0.00425925925925926</v>
                </pt>
                <pt idx="369">
                  <v>0.00427083333333333</v>
                </pt>
                <pt idx="370">
                  <v>0.00428240740740741</v>
                </pt>
                <pt idx="371">
                  <v>0.00429398148148148</v>
                </pt>
                <pt idx="372">
                  <v>0.00430555555555556</v>
                </pt>
                <pt idx="373">
                  <v>0.00431712962962963</v>
                </pt>
                <pt idx="374">
                  <v>0.0043287037037037</v>
                </pt>
                <pt idx="375">
                  <v>0.00434027777777778</v>
                </pt>
                <pt idx="376">
                  <v>0.00435185185185185</v>
                </pt>
                <pt idx="377">
                  <v>0.00436342592592593</v>
                </pt>
                <pt idx="378">
                  <v>0.004375</v>
                </pt>
                <pt idx="379">
                  <v>0.00438657407407407</v>
                </pt>
                <pt idx="380">
                  <v>0.00439814814814815</v>
                </pt>
                <pt idx="381">
                  <v>0.00440972222222222</v>
                </pt>
                <pt idx="382">
                  <v>0.0044212962962963</v>
                </pt>
                <pt idx="383">
                  <v>0.00443287037037037</v>
                </pt>
                <pt idx="384">
                  <v>0.00444444444444444</v>
                </pt>
                <pt idx="385">
                  <v>0.00445601851851852</v>
                </pt>
                <pt idx="386">
                  <v>0.00446759259259259</v>
                </pt>
                <pt idx="387">
                  <v>0.00447916666666667</v>
                </pt>
                <pt idx="388">
                  <v>0.00449074074074074</v>
                </pt>
                <pt idx="389">
                  <v>0.00450231481481481</v>
                </pt>
                <pt idx="390">
                  <v>0.00451388888888889</v>
                </pt>
                <pt idx="391">
                  <v>0.00452546296296296</v>
                </pt>
                <pt idx="392">
                  <v>0.00453703703703704</v>
                </pt>
                <pt idx="393">
                  <v>0.00454861111111111</v>
                </pt>
                <pt idx="394">
                  <v>0.00456018518518519</v>
                </pt>
                <pt idx="395">
                  <v>0.00457175925925926</v>
                </pt>
                <pt idx="396">
                  <v>0.00458333333333333</v>
                </pt>
                <pt idx="397">
                  <v>0.00459490740740741</v>
                </pt>
                <pt idx="398">
                  <v>0.00460648148148148</v>
                </pt>
                <pt idx="399">
                  <v>0.00461805555555556</v>
                </pt>
                <pt idx="400">
                  <v>0.00462962962962963</v>
                </pt>
                <pt idx="401">
                  <v>0.0046412037037037</v>
                </pt>
                <pt idx="402">
                  <v>0.00465277777777778</v>
                </pt>
                <pt idx="403">
                  <v>0.00466435185185185</v>
                </pt>
                <pt idx="404">
                  <v>0.00467592592592593</v>
                </pt>
              </numCache>
            </numRef>
          </cat>
          <val>
            <numRef>
              <f>'11. High Speed'!$K$6:$K$306</f>
              <numCache>
                <formatCode>General</formatCode>
                <ptCount val="301"/>
              </numCache>
            </numRef>
          </val>
          <smooth val="0"/>
        </ser>
        <dLbls>
          <showLegendKey val="0"/>
          <showVal val="0"/>
          <showCatName val="0"/>
          <showSerName val="0"/>
          <showPercent val="0"/>
          <showBubbleSize val="0"/>
        </dLbls>
        <marker val="0"/>
        <smooth val="0"/>
        <axId val="105369600"/>
        <axId val="105371136"/>
      </lineChart>
      <catAx>
        <axId val="105369600"/>
        <scaling>
          <orientation val="minMax"/>
        </scaling>
        <delete val="0"/>
        <axPos val="b"/>
        <numFmt formatCode="h:mm:ss"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5371136"/>
        <crosses val="autoZero"/>
        <auto val="1"/>
        <lblAlgn val="ctr"/>
        <lblOffset val="100"/>
        <noMultiLvlLbl val="0"/>
      </catAx>
      <valAx>
        <axId val="105371136"/>
        <scaling>
          <orientation val="minMax"/>
        </scaling>
        <delete val="0"/>
        <axPos val="l"/>
        <majorGridlines/>
        <numFmt formatCode="General" sourceLinked="0"/>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5369600"/>
        <crosses val="autoZero"/>
        <crossBetween val="between"/>
      </valAx>
    </plotArea>
    <legend>
      <legendPos val="r"/>
      <layout/>
      <overlay val="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7.xml><?xml version="1.0" encoding="utf-8"?>
<chartSpace xmlns="http://schemas.openxmlformats.org/drawingml/2006/chart">
  <chart>
    <plotArea>
      <layout>
        <manualLayout>
          <layoutTarget val="inner"/>
          <xMode val="edge"/>
          <yMode val="edge"/>
          <wMode val="factor"/>
          <hMode val="factor"/>
          <x val="0.07001377952755899"/>
          <y val="0.194803514144065"/>
          <w val="0.878111329833771"/>
          <h val="0.772314450277049"/>
        </manualLayout>
      </layout>
      <scatterChart>
        <scatterStyle val="line"/>
        <varyColors val="0"/>
        <ser>
          <idx val="0"/>
          <order val="0"/>
          <tx>
            <strRef>
              <f>#REF!</f>
              <strCache>
                <ptCount val="1"/>
                <pt idx="0">
                  <v>#REF!</v>
                </pt>
              </strCache>
            </strRef>
          </tx>
          <spPr>
            <a:ln xmlns:a="http://schemas.openxmlformats.org/drawingml/2006/main" algn="ctr" cap="rnd" cmpd="sng" w="28575">
              <a:noFill/>
              <a:prstDash val="solid"/>
              <a:round/>
            </a:ln>
          </spPr>
          <marker>
            <symbol val="none"/>
            <spPr>
              <a:ln xmlns:a="http://schemas.openxmlformats.org/drawingml/2006/main">
                <a:prstDash val="solid"/>
              </a:ln>
            </spPr>
          </marker>
          <dLbls>
            <delete val="1"/>
          </dLbls>
          <xVal>
            <numRef>
              <f>#REF!</f>
              <numCache>
                <formatCode>General</formatCode>
                <ptCount val="0"/>
              </numCache>
            </numRef>
          </xVal>
          <yVal>
            <numRef>
              <f>#REF!</f>
              <numCache>
                <formatCode>General</formatCode>
                <ptCount val="1"/>
                <pt idx="0">
                  <v>1</v>
                </pt>
              </numCache>
            </numRef>
          </yVal>
          <smooth val="0"/>
        </ser>
        <ser>
          <idx val="1"/>
          <order val="1"/>
          <tx>
            <strRef>
              <f>#REF!</f>
              <strCache>
                <ptCount val="1"/>
                <pt idx="0">
                  <v>#REF!</v>
                </pt>
              </strCache>
            </strRef>
          </tx>
          <spPr>
            <a:ln xmlns:a="http://schemas.openxmlformats.org/drawingml/2006/main" algn="ctr" cap="rnd" cmpd="sng" w="28575">
              <a:noFill/>
              <a:prstDash val="solid"/>
              <a:round/>
            </a:ln>
          </spPr>
          <marker>
            <symbol val="none"/>
            <spPr>
              <a:ln xmlns:a="http://schemas.openxmlformats.org/drawingml/2006/main">
                <a:prstDash val="solid"/>
              </a:ln>
            </spPr>
          </marker>
          <dLbls>
            <delete val="1"/>
          </dLbls>
          <xVal>
            <numRef>
              <f>#REF!</f>
              <numCache>
                <formatCode>General</formatCode>
                <ptCount val="0"/>
              </numCache>
            </numRef>
          </xVal>
          <yVal>
            <numRef>
              <f>#REF!</f>
              <numCache>
                <formatCode>General</formatCode>
                <ptCount val="1"/>
                <pt idx="0">
                  <v>1</v>
                </pt>
              </numCache>
            </numRef>
          </yVal>
          <smooth val="0"/>
        </ser>
        <dLbls>
          <showLegendKey val="0"/>
          <showVal val="0"/>
          <showCatName val="0"/>
          <showSerName val="0"/>
          <showPercent val="0"/>
          <showBubbleSize val="0"/>
        </dLbls>
        <axId val="103872768"/>
        <axId val="103944192"/>
      </scatterChart>
      <valAx>
        <axId val="103872768"/>
        <scaling>
          <orientation val="minMax"/>
        </scaling>
        <delete val="0"/>
        <axPos val="b"/>
        <numFmt formatCode="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944192"/>
        <crosses val="autoZero"/>
        <crossBetween val="midCat"/>
      </valAx>
      <valAx>
        <axId val="103944192"/>
        <scaling>
          <orientation val="minMax"/>
        </scaling>
        <delete val="0"/>
        <axPos val="l"/>
        <majorGridlines/>
        <numFmt formatCode="General"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872768"/>
        <crosses val="autoZero"/>
        <crossBetween val="midCat"/>
      </valAx>
    </plotArea>
    <legend>
      <legendPos val="r"/>
      <layout>
        <manualLayout>
          <xMode val="edge"/>
          <yMode val="edge"/>
          <wMode val="factor"/>
          <hMode val="factor"/>
          <x val="0.658097331583552"/>
          <y val="0.207949475065617"/>
          <w val="0.248811837670857"/>
          <h val="0.130680531387386"/>
        </manualLayout>
      </layout>
      <overlay val="0"/>
      <txPr>
        <a:bodyPr xmlns:a="http://schemas.openxmlformats.org/drawingml/2006/main" anchor="ctr" anchorCtr="1" rot="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legend>
    <plotVisOnly val="1"/>
    <dispBlanksAs val="gap"/>
  </chart>
</chartSpace>
</file>

<file path=xl/charts/chart8.xml><?xml version="1.0" encoding="utf-8"?>
<chartSpace xmlns="http://schemas.openxmlformats.org/drawingml/2006/chart">
  <chart>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800">
                <a:solidFill>
                  <a:schemeClr val="tx1"/>
                </a:solidFill>
                <a:latin typeface="+mn-lt"/>
                <a:ea typeface="+mn-ea"/>
                <a:cs typeface="+mn-cs"/>
              </a:defRPr>
            </a:pPr>
            <a:r>
              <a:rPr lang="en-US"/>
              <a:t>Motor</a:t>
            </a:r>
            <a:r>
              <a:rPr baseline="0" lang="en-US"/>
              <a:t> Work Area</a:t>
            </a:r>
            <a:endParaRPr lang="en-US"/>
          </a:p>
        </rich>
      </tx>
      <layout/>
      <overlay val="1"/>
    </title>
    <plotArea>
      <layout>
        <manualLayout>
          <layoutTarget val="inner"/>
          <xMode val="edge"/>
          <yMode val="edge"/>
          <wMode val="factor"/>
          <hMode val="factor"/>
          <x val="0.0954882267898223"/>
          <y val="0.119912094487703"/>
          <w val="0.8675189232499591"/>
          <h val="0.7701401095445169"/>
        </manualLayout>
      </layout>
      <scatterChart>
        <scatterStyle val="lineMarker"/>
        <varyColors val="0"/>
        <ser>
          <idx val="0"/>
          <order val="0"/>
          <spPr>
            <a:ln xmlns:a="http://schemas.openxmlformats.org/drawingml/2006/main" algn="ctr" cap="rnd" cmpd="sng" w="28575">
              <a:solidFill>
                <a:schemeClr val="accent1">
                  <a:shade val="95000"/>
                  <a:satMod val="105000"/>
                </a:schemeClr>
              </a:solidFill>
              <a:prstDash val="solid"/>
              <a:round/>
            </a:ln>
          </spPr>
          <marker>
            <symbol val="circle"/>
            <size val="5"/>
            <spPr>
              <a:ln xmlns:a="http://schemas.openxmlformats.org/drawingml/2006/main" algn="ctr" cap="flat" cmpd="sng" w="9525">
                <a:solidFill>
                  <a:schemeClr val="accent1">
                    <a:shade val="95000"/>
                    <a:satMod val="105000"/>
                  </a:schemeClr>
                </a:solidFill>
                <a:prstDash val="solid"/>
                <a:round/>
              </a:ln>
            </spPr>
          </marker>
          <dLbls>
            <delete val="1"/>
          </dLbls>
          <xVal>
            <numRef>
              <f>'12.Work Area Check'!$G$18:$G$64</f>
              <numCache>
                <formatCode>0</formatCode>
                <ptCount val="47"/>
              </numCache>
            </numRef>
          </xVal>
          <yVal>
            <numRef>
              <f>'12.Work Area Check'!$O$18:$O$64</f>
              <numCache>
                <formatCode>0.0</formatCode>
                <ptCount val="47"/>
                <pt idx="0">
                  <v>50.06</v>
                </pt>
                <pt idx="1">
                  <v>100.12</v>
                </pt>
                <pt idx="2">
                  <v>150.18</v>
                </pt>
                <pt idx="3">
                  <v>50.06</v>
                </pt>
                <pt idx="4">
                  <v>100.12</v>
                </pt>
                <pt idx="5">
                  <v>150.18</v>
                </pt>
                <pt idx="6">
                  <v>50.06</v>
                </pt>
                <pt idx="7">
                  <v>100.12</v>
                </pt>
                <pt idx="8">
                  <v>150.18</v>
                </pt>
                <pt idx="9">
                  <v>50.06</v>
                </pt>
                <pt idx="10">
                  <v>100.12</v>
                </pt>
                <pt idx="11">
                  <v>150.18</v>
                </pt>
                <pt idx="12">
                  <v>50.06</v>
                </pt>
                <pt idx="13">
                  <v>100.12</v>
                </pt>
                <pt idx="14">
                  <v>50.06</v>
                </pt>
                <pt idx="15">
                  <v>100.12</v>
                </pt>
                <pt idx="16">
                  <v>50.06</v>
                </pt>
                <pt idx="17">
                  <v>100.12</v>
                </pt>
                <pt idx="18">
                  <v>50.06</v>
                </pt>
                <pt idx="19">
                  <v>100.12</v>
                </pt>
                <pt idx="20">
                  <v>50.06</v>
                </pt>
                <pt idx="21">
                  <v>100.12</v>
                </pt>
                <pt idx="22">
                  <v>50.06</v>
                </pt>
                <pt idx="23">
                  <v>0</v>
                </pt>
                <pt idx="24">
                  <v>-50.06</v>
                </pt>
                <pt idx="25">
                  <v>-100.12</v>
                </pt>
                <pt idx="26">
                  <v>-150.18</v>
                </pt>
                <pt idx="27">
                  <v>-50.06</v>
                </pt>
                <pt idx="28">
                  <v>-100.12</v>
                </pt>
                <pt idx="29">
                  <v>-150.18</v>
                </pt>
                <pt idx="30">
                  <v>-50.06</v>
                </pt>
                <pt idx="31">
                  <v>-100.12</v>
                </pt>
                <pt idx="32">
                  <v>-150.18</v>
                </pt>
                <pt idx="33">
                  <v>-50.06</v>
                </pt>
                <pt idx="34">
                  <v>-100.12</v>
                </pt>
                <pt idx="35">
                  <v>-150.18</v>
                </pt>
                <pt idx="36">
                  <v>-50.06</v>
                </pt>
                <pt idx="37">
                  <v>-100.12</v>
                </pt>
                <pt idx="38">
                  <v>-50.06</v>
                </pt>
                <pt idx="39">
                  <v>-100.12</v>
                </pt>
                <pt idx="40">
                  <v>-50.06</v>
                </pt>
                <pt idx="41">
                  <v>-100.12</v>
                </pt>
                <pt idx="42">
                  <v>-50.06</v>
                </pt>
                <pt idx="43">
                  <v>-100.12</v>
                </pt>
                <pt idx="44">
                  <v>-50.06</v>
                </pt>
                <pt idx="45">
                  <v>-100.12</v>
                </pt>
                <pt idx="46">
                  <v>-50.06</v>
                </pt>
              </numCache>
            </numRef>
          </yVal>
          <smooth val="0"/>
        </ser>
        <dLbls>
          <showLegendKey val="0"/>
          <showVal val="0"/>
          <showCatName val="0"/>
          <showSerName val="0"/>
          <showPercent val="0"/>
          <showBubbleSize val="0"/>
        </dLbls>
        <axId val="103969152"/>
        <axId val="103971072"/>
      </scatterChart>
      <valAx>
        <axId val="103969152"/>
        <scaling>
          <orientation val="minMax"/>
        </scaling>
        <delete val="0"/>
        <axPos val="b"/>
        <title>
          <tx>
            <rich>
              <a:bodyPr xmlns:a="http://schemas.openxmlformats.org/drawingml/2006/main" anchor="ctr" anchorCtr="1" rot="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Speed [rpm]</a:t>
                </a:r>
                <a:endParaRPr lang="en-US"/>
              </a:p>
            </rich>
          </tx>
          <layout>
            <manualLayout>
              <xMode val="edge"/>
              <yMode val="edge"/>
              <wMode val="factor"/>
              <hMode val="factor"/>
              <x val="0.478022139995786"/>
              <y val="0.916623666752013"/>
            </manualLayout>
          </layout>
          <overlay val="0"/>
        </title>
        <numFmt formatCode="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971072"/>
        <crosses val="autoZero"/>
        <crossBetween val="midCat"/>
      </valAx>
      <valAx>
        <axId val="103971072"/>
        <scaling>
          <orientation val="minMax"/>
        </scaling>
        <delete val="0"/>
        <axPos val="l"/>
        <majorGridlines>
          <spPr>
            <a:ln xmlns:a="http://schemas.openxmlformats.org/drawingml/2006/main" algn="ctr" cap="flat" cmpd="sng" w="9525">
              <a:solidFill>
                <a:schemeClr val="tx1">
                  <a:tint val="75000"/>
                  <a:shade val="95000"/>
                  <a:satMod val="105000"/>
                </a:schemeClr>
              </a:solidFill>
              <a:prstDash val="dash"/>
              <a:round/>
            </a:ln>
          </spPr>
        </majorGridlines>
        <title>
          <tx>
            <rich>
              <a:bodyPr xmlns:a="http://schemas.openxmlformats.org/drawingml/2006/main" anchor="ctr" anchorCtr="1" rot="-5400000" spcFirstLastPara="0" vert="horz" vertOverflow="ellipsis" wrap="square"/>
              <a:lstStyle xmlns:a="http://schemas.openxmlformats.org/drawingml/2006/main"/>
              <a:p xmlns:a="http://schemas.openxmlformats.org/drawingml/2006/main">
                <a:pPr>
                  <a:defRPr b="1" baseline="0" i="0" kern="1200" lang="zh-CN" strike="noStrike" sz="1000">
                    <a:solidFill>
                      <a:schemeClr val="tx1"/>
                    </a:solidFill>
                    <a:latin typeface="+mn-lt"/>
                    <a:ea typeface="+mn-ea"/>
                    <a:cs typeface="+mn-cs"/>
                  </a:defRPr>
                </a:pPr>
                <a:r>
                  <a:rPr lang="en-US"/>
                  <a:t>Torque [Nm]</a:t>
                </a:r>
                <a:endParaRPr lang="en-US"/>
              </a:p>
            </rich>
          </tx>
          <layout>
            <manualLayout>
              <xMode val="edge"/>
              <yMode val="edge"/>
              <wMode val="factor"/>
              <hMode val="factor"/>
              <x val="0.019808640784316"/>
              <y val="0.456630325309501"/>
            </manualLayout>
          </layout>
          <overlay val="0"/>
        </title>
        <numFmt formatCode="0.0" sourceLinked="1"/>
        <majorTickMark val="out"/>
        <minorTickMark val="none"/>
        <tickLblPos val="nextTo"/>
        <txPr>
          <a:bodyPr xmlns:a="http://schemas.openxmlformats.org/drawingml/2006/main" anchor="ctr" anchorCtr="1" rot="-60000000" spcFirstLastPara="0" vert="horz" vertOverflow="ellipsis" wrap="square"/>
          <a:lstStyle xmlns:a="http://schemas.openxmlformats.org/drawingml/2006/main"/>
          <a:p xmlns:a="http://schemas.openxmlformats.org/drawingml/2006/main">
            <a:pPr>
              <a:defRPr b="0" baseline="0" i="0" kern="1200" lang="zh-CN" strike="noStrike" sz="1000">
                <a:solidFill>
                  <a:schemeClr val="tx1"/>
                </a:solidFill>
                <a:latin typeface="+mn-lt"/>
                <a:ea typeface="+mn-ea"/>
                <a:cs typeface="+mn-cs"/>
              </a:defRPr>
            </a:pPr>
            <a:r>
              <a:t>None</a:t>
            </a:r>
          </a:p>
        </txPr>
        <crossAx val="103969152"/>
        <crosses val="autoZero"/>
        <crossBetween val="midCat"/>
      </valAx>
    </plotArea>
    <plotVisOnly val="1"/>
    <dispBlanksAs val="gap"/>
  </chart>
</chartSpace>
</file>

<file path=xl/drawings/_rels/drawing1.xml.rels><Relationships xmlns="http://schemas.openxmlformats.org/package/2006/relationships"><Relationship Id="rId1" Target="/xl/media/image1.png" Type="http://schemas.openxmlformats.org/officeDocument/2006/relationships/image"/></Relationships>
</file>

<file path=xl/drawings/_rels/drawing2.xml.rels><Relationships xmlns="http://schemas.openxmlformats.org/package/2006/relationships"><Relationship Id="rId1" Target="/xl/media/image2.png" Type="http://schemas.openxmlformats.org/officeDocument/2006/relationships/image"/></Relationships>
</file>

<file path=xl/drawings/_rels/drawing3.xml.rels><Relationships xmlns="http://schemas.openxmlformats.org/package/2006/relationships"><Relationship Id="rId1" Target="/xl/media/image3.png" Type="http://schemas.openxmlformats.org/officeDocument/2006/relationships/image"/></Relationships>
</file>

<file path=xl/drawings/_rels/drawing4.xml.rels><Relationships xmlns="http://schemas.openxmlformats.org/package/2006/relationships"><Relationship Id="rId1" Target="/xl/media/image4.png" Type="http://schemas.openxmlformats.org/officeDocument/2006/relationships/image"/></Relationships>
</file>

<file path=xl/drawings/_rels/drawing5.xml.rels><Relationships xmlns="http://schemas.openxmlformats.org/package/2006/relationships"><Relationship Id="rId1" Target="/xl/charts/chart1.xml" Type="http://schemas.openxmlformats.org/officeDocument/2006/relationships/chart"/><Relationship Id="rId2" Target="/xl/charts/chart2.xml" Type="http://schemas.openxmlformats.org/officeDocument/2006/relationships/chart"/><Relationship Id="rId3" Target="/xl/charts/chart3.xml" Type="http://schemas.openxmlformats.org/officeDocument/2006/relationships/chart"/><Relationship Id="rId4" Target="/xl/media/image5.png" Type="http://schemas.openxmlformats.org/officeDocument/2006/relationships/image"/></Relationships>
</file>

<file path=xl/drawings/_rels/drawing6.xml.rels><Relationships xmlns="http://schemas.openxmlformats.org/package/2006/relationships"><Relationship Id="rId1" Target="/xl/media/image6.png" Type="http://schemas.openxmlformats.org/officeDocument/2006/relationships/image"/></Relationships>
</file>

<file path=xl/drawings/_rels/drawing7.xml.rels><Relationships xmlns="http://schemas.openxmlformats.org/package/2006/relationships"><Relationship Id="rId1" Target="/xl/charts/chart4.xml" Type="http://schemas.openxmlformats.org/officeDocument/2006/relationships/chart"/><Relationship Id="rId2" Target="/xl/media/image7.png" Type="http://schemas.openxmlformats.org/officeDocument/2006/relationships/image"/></Relationships>
</file>

<file path=xl/drawings/_rels/drawing8.xml.rels><Relationships xmlns="http://schemas.openxmlformats.org/package/2006/relationships"><Relationship Id="rId1" Target="/xl/charts/chart5.xml" Type="http://schemas.openxmlformats.org/officeDocument/2006/relationships/chart"/><Relationship Id="rId2" Target="/xl/media/image8.png" Type="http://schemas.openxmlformats.org/officeDocument/2006/relationships/image"/></Relationships>
</file>

<file path=xl/drawings/_rels/drawing9.xml.rels><Relationships xmlns="http://schemas.openxmlformats.org/package/2006/relationships"><Relationship Id="rId1" Target="/xl/media/image9.png" Type="http://schemas.openxmlformats.org/officeDocument/2006/relationships/image"/></Relationships>
</file>

<file path=xl/drawings/_rels/drawing10.xml.rels><Relationships xmlns="http://schemas.openxmlformats.org/package/2006/relationships"><Relationship Id="rId1" Target="/xl/media/image10.png" Type="http://schemas.openxmlformats.org/officeDocument/2006/relationships/image"/></Relationships>
</file>

<file path=xl/drawings/_rels/drawing11.xml.rels><Relationships xmlns="http://schemas.openxmlformats.org/package/2006/relationships"><Relationship Id="rId1" Target="/xl/charts/chart6.xml" Type="http://schemas.openxmlformats.org/officeDocument/2006/relationships/chart"/><Relationship Id="rId2" Target="/xl/media/image11.png" Type="http://schemas.openxmlformats.org/officeDocument/2006/relationships/image"/></Relationships>
</file>

<file path=xl/drawings/_rels/drawing12.xml.rels><Relationships xmlns="http://schemas.openxmlformats.org/package/2006/relationships"><Relationship Id="rId1" Target="/xl/charts/chart7.xml" Type="http://schemas.openxmlformats.org/officeDocument/2006/relationships/chart"/><Relationship Id="rId2" Target="/xl/charts/chart8.xml" Type="http://schemas.openxmlformats.org/officeDocument/2006/relationships/chart"/><Relationship Id="rId3" Target="/xl/media/image12.png" Type="http://schemas.openxmlformats.org/officeDocument/2006/relationships/image"/></Relationships>
</file>

<file path=xl/drawings/drawing1.xml><?xml version="1.0" encoding="utf-8"?>
<wsDr xmlns="http://schemas.openxmlformats.org/drawingml/2006/spreadsheetDrawing">
  <twoCellAnchor editAs="oneCell">
    <from>
      <col>0</col>
      <colOff>302556</colOff>
      <row>0</row>
      <rowOff>24093</rowOff>
    </from>
    <to>
      <col>0</col>
      <colOff>1486831</colOff>
      <row>1</row>
      <rowOff>352425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2260" y="23495"/>
          <a:ext cx="1184275" cy="70993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245406</colOff>
      <row>0</row>
      <rowOff>28575</rowOff>
    </from>
    <to>
      <col>1</col>
      <colOff>653076</colOff>
      <row>1</row>
      <rowOff>360807</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5110" y="28575"/>
          <a:ext cx="1087120" cy="71310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351235</colOff>
      <row>0</row>
      <rowOff>35984</rowOff>
    </from>
    <to>
      <col>2</col>
      <colOff>534538</colOff>
      <row>1</row>
      <rowOff>368216</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51155" y="35560"/>
          <a:ext cx="1050290" cy="71310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194351</colOff>
      <row>0</row>
      <rowOff>35983</rowOff>
    </from>
    <to>
      <col>1</col>
      <colOff>721924</colOff>
      <row>1</row>
      <rowOff>368215</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4310" y="35560"/>
          <a:ext cx="1092835" cy="71310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absolute">
    <from>
      <col>0</col>
      <colOff>0</colOff>
      <row>23</row>
      <rowOff>46378</rowOff>
    </from>
    <to>
      <col>15</col>
      <colOff>1680</colOff>
      <row>57</row>
      <rowOff>145677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absolute">
    <from>
      <col>0</col>
      <colOff>0</colOff>
      <row>58</row>
      <rowOff>53852</rowOff>
    </from>
    <to>
      <col>15</col>
      <colOff>1680</colOff>
      <row>93</row>
      <rowOff>89646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absolute">
    <from>
      <col>0</col>
      <colOff>0</colOff>
      <row>94</row>
      <rowOff>115717</rowOff>
    </from>
    <to>
      <col>15</col>
      <colOff>0</colOff>
      <row>129</row>
      <rowOff>179294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0</col>
      <colOff>183145</colOff>
      <row>0</row>
      <rowOff>22375</rowOff>
    </from>
    <to>
      <col>1</col>
      <colOff>501008</colOff>
      <row>1</row>
      <rowOff>354607</rowOff>
    </to>
    <pic>
      <nvPicPr>
        <cNvPr id="5" name="Picture 4"/>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82880" y="22225"/>
          <a:ext cx="1071880" cy="71310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216762</colOff>
      <row>0</row>
      <rowOff>22375</rowOff>
    </from>
    <to>
      <col>2</col>
      <colOff>264</colOff>
      <row>1</row>
      <rowOff>354607</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6535" y="22225"/>
          <a:ext cx="1047115" cy="71310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absolute">
    <from>
      <col>0</col>
      <colOff>56029</colOff>
      <row>21</row>
      <rowOff>118218</rowOff>
    </from>
    <to>
      <col>12</col>
      <colOff>571500</colOff>
      <row>51</row>
      <rowOff>11205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216762</colOff>
      <row>0</row>
      <rowOff>22374</rowOff>
    </from>
    <to>
      <col>1</col>
      <colOff>598658</colOff>
      <row>1</row>
      <rowOff>354606</rowOff>
    </to>
    <pic>
      <nvPicPr>
        <cNvPr id="4" name="Picture 3"/>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6535" y="22225"/>
          <a:ext cx="1079500" cy="71310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0</colOff>
      <row>29</row>
      <rowOff>27213</rowOff>
    </from>
    <to>
      <col>9</col>
      <colOff>612321</colOff>
      <row>45</row>
      <rowOff>40820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216762</colOff>
      <row>0</row>
      <rowOff>22374</rowOff>
    </from>
    <to>
      <col>1</col>
      <colOff>598658</colOff>
      <row>1</row>
      <rowOff>354606</rowOff>
    </to>
    <pic>
      <nvPicPr>
        <cNvPr id="3"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6535" y="22225"/>
          <a:ext cx="1079500" cy="71310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121512</colOff>
      <row>0</row>
      <rowOff>31898</rowOff>
    </from>
    <to>
      <col>1</col>
      <colOff>653007</colOff>
      <row>1</row>
      <rowOff>364130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1285" y="31750"/>
          <a:ext cx="1097280" cy="71310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468890</colOff>
      <row>0</row>
      <rowOff>31898</rowOff>
    </from>
    <to>
      <col>2</col>
      <colOff>189639</colOff>
      <row>1</row>
      <rowOff>364130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630" y="31750"/>
          <a:ext cx="984250" cy="71310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11</col>
      <colOff>152400</colOff>
      <row>4</row>
      <rowOff>161925</rowOff>
    </from>
    <to>
      <col>18</col>
      <colOff>457200</colOff>
      <row>15</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565785</colOff>
      <row>0</row>
      <rowOff>31898</rowOff>
    </from>
    <to>
      <col>2</col>
      <colOff>324110</colOff>
      <row>1</row>
      <rowOff>364130</rowOff>
    </to>
    <pic>
      <nvPicPr>
        <cNvPr id="3"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65785" y="31750"/>
          <a:ext cx="1021715" cy="71310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from>
      <col>34</col>
      <colOff>76200</colOff>
      <row>14</row>
      <rowOff>19051</rowOff>
    </from>
    <to>
      <col>43</col>
      <colOff>361949</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368650</colOff>
      <row>2</row>
      <rowOff>115094</rowOff>
    </from>
    <to>
      <col>10</col>
      <colOff>1282700</colOff>
      <row>13</row>
      <rowOff>349250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602240</colOff>
      <row>0</row>
      <rowOff>31898</rowOff>
    </from>
    <to>
      <col>1</col>
      <colOff>974531</colOff>
      <row>1</row>
      <rowOff>364130</rowOff>
    </to>
    <pic>
      <nvPicPr>
        <cNvPr id="4" name="Picture 3"/>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01980" y="31750"/>
          <a:ext cx="1069975" cy="71310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Relationships xmlns="http://schemas.openxmlformats.org/package/2006/relationships"><Relationship Id="rId1" Target="/xl/drawings/drawing1.xml" Type="http://schemas.openxmlformats.org/officeDocument/2006/relationships/drawing"/></Relationships>
</file>

<file path=xl/worksheets/_rels/sheet5.xml.rels><Relationships xmlns="http://schemas.openxmlformats.org/package/2006/relationships"><Relationship Id="rId1" Target="/xl/drawings/drawing2.xml" Type="http://schemas.openxmlformats.org/officeDocument/2006/relationships/drawing"/></Relationships>
</file>

<file path=xl/worksheets/_rels/sheet6.xml.rels><Relationships xmlns="http://schemas.openxmlformats.org/package/2006/relationships"><Relationship Id="rId1" Target="/xl/drawings/drawing3.xml" Type="http://schemas.openxmlformats.org/officeDocument/2006/relationships/drawing"/></Relationships>
</file>

<file path=xl/worksheets/_rels/sheet7.xml.rels><Relationships xmlns="http://schemas.openxmlformats.org/package/2006/relationships"><Relationship Id="rId1" Target="/xl/drawings/drawing4.xml" Type="http://schemas.openxmlformats.org/officeDocument/2006/relationships/drawing"/></Relationships>
</file>

<file path=xl/worksheets/_rels/sheet8.xml.rels><Relationships xmlns="http://schemas.openxmlformats.org/package/2006/relationships"><Relationship Id="rId1" Target="/xl/drawings/drawing5.xml" Type="http://schemas.openxmlformats.org/officeDocument/2006/relationships/drawing"/></Relationships>
</file>

<file path=xl/worksheets/_rels/sheet9.xml.rels><Relationships xmlns="http://schemas.openxmlformats.org/package/2006/relationships"><Relationship Id="rId1" Target="/xl/drawings/drawing6.xml" Type="http://schemas.openxmlformats.org/officeDocument/2006/relationships/drawing"/></Relationships>
</file>

<file path=xl/worksheets/_rels/sheet10.xml.rels><Relationships xmlns="http://schemas.openxmlformats.org/package/2006/relationships"><Relationship Id="rId1" Target="/xl/drawings/drawing7.xml" Type="http://schemas.openxmlformats.org/officeDocument/2006/relationships/drawing"/></Relationships>
</file>

<file path=xl/worksheets/_rels/sheet12.xml.rels><Relationships xmlns="http://schemas.openxmlformats.org/package/2006/relationships"><Relationship Id="rId1" Target="/xl/drawings/drawing8.xml" Type="http://schemas.openxmlformats.org/officeDocument/2006/relationships/drawing"/></Relationships>
</file>

<file path=xl/worksheets/_rels/sheet13.xml.rels><Relationships xmlns="http://schemas.openxmlformats.org/package/2006/relationships"><Relationship Id="rId1" Target="/xl/drawings/drawing9.xml" Type="http://schemas.openxmlformats.org/officeDocument/2006/relationships/drawing"/></Relationships>
</file>

<file path=xl/worksheets/_rels/sheet15.xml.rels><Relationships xmlns="http://schemas.openxmlformats.org/package/2006/relationships"><Relationship Id="rId1" Target="/xl/drawings/drawing10.xml" Type="http://schemas.openxmlformats.org/officeDocument/2006/relationships/drawing"/></Relationships>
</file>

<file path=xl/worksheets/_rels/sheet16.xml.rels><Relationships xmlns="http://schemas.openxmlformats.org/package/2006/relationships"><Relationship Id="rId1" Target="/xl/drawings/drawing11.xml" Type="http://schemas.openxmlformats.org/officeDocument/2006/relationships/drawing"/></Relationships>
</file>

<file path=xl/worksheets/_rels/sheet17.xml.rels><Relationships xmlns="http://schemas.openxmlformats.org/package/2006/relationships"><Relationship Id="rId1" Target="/xl/drawings/drawing12.xml" Type="http://schemas.openxmlformats.org/officeDocument/2006/relationships/drawing"/></Relationships>
</file>

<file path=xl/worksheets/sheet1.xml><?xml version="1.0" encoding="utf-8"?>
<worksheet xmlns="http://schemas.openxmlformats.org/spreadsheetml/2006/main">
  <sheetPr>
    <outlinePr summaryBelow="1" summaryRight="1"/>
    <pageSetUpPr/>
  </sheetPr>
  <dimension ref="A1:E20"/>
  <sheetViews>
    <sheetView showGridLines="0" workbookViewId="0">
      <selection activeCell="J15" sqref="J15"/>
    </sheetView>
  </sheetViews>
  <sheetFormatPr baseColWidth="8" defaultColWidth="9" defaultRowHeight="16.8"/>
  <cols>
    <col customWidth="1" max="1" min="1" width="11.8557692307692"/>
    <col customWidth="1" max="2" min="2" width="32.7115384615385"/>
    <col customWidth="1" max="3" min="3" width="27.7115384615385"/>
    <col customWidth="1" max="4" min="4" style="556" width="16.1442307692308"/>
    <col customWidth="1" max="5" min="5" width="78.42307692307691"/>
  </cols>
  <sheetData>
    <row customHeight="1" ht="24.95" r="1">
      <c r="A1" s="557" t="inlineStr">
        <is>
          <t>Equipment
设备</t>
        </is>
      </c>
      <c r="B1" s="558" t="n"/>
      <c r="C1" s="49" t="inlineStr">
        <is>
          <t>Type
型号</t>
        </is>
      </c>
      <c r="D1" s="559" t="inlineStr">
        <is>
          <t>SN / Test Condition
序列号 / 测试条件</t>
        </is>
      </c>
      <c r="E1" s="583" t="inlineStr">
        <is>
          <t>Comments
说明</t>
        </is>
      </c>
    </row>
    <row customHeight="1" ht="24.95" r="2">
      <c r="A2" s="560" t="inlineStr">
        <is>
          <t>DUT
被测端</t>
        </is>
      </c>
      <c r="B2" s="561" t="inlineStr">
        <is>
          <t>Motor ( A )
负载端电机</t>
        </is>
      </c>
      <c r="C2" s="562" t="inlineStr">
        <is>
          <t>M24P5-S-18XXYY</t>
        </is>
      </c>
      <c r="D2" s="563" t="inlineStr">
        <is>
          <t>A01-001-180515</t>
        </is>
      </c>
      <c r="E2" s="584" t="inlineStr">
        <is>
          <t>Potting Motor</t>
        </is>
      </c>
    </row>
    <row customHeight="1" ht="24.95" r="3">
      <c r="A3" s="397" t="n"/>
      <c r="B3" s="564" t="inlineStr">
        <is>
          <t>Inverter ( A )
逆变器</t>
        </is>
      </c>
      <c r="C3" s="565" t="inlineStr">
        <is>
          <t>RMS PM250DZR</t>
        </is>
      </c>
      <c r="D3" s="566" t="inlineStr">
        <is>
          <t>063</t>
        </is>
      </c>
      <c r="E3" s="585" t="inlineStr">
        <is>
          <t>RMS PM250DZR, Cont. current 450Arms, Peak current 600Arms</t>
        </is>
      </c>
    </row>
    <row customHeight="1" ht="24.95" r="4">
      <c r="A4" s="397" t="n"/>
      <c r="B4" s="564" t="inlineStr">
        <is>
          <t>Flowmeters ( A )
流量计</t>
        </is>
      </c>
      <c r="C4" s="565" t="inlineStr">
        <is>
          <t>FTB4700</t>
        </is>
      </c>
      <c r="D4" s="567" t="inlineStr">
        <is>
          <t>None</t>
        </is>
      </c>
      <c r="E4" s="585" t="inlineStr">
        <is>
          <t>FTB4700 SERIES LOW FLOW METER</t>
        </is>
      </c>
    </row>
    <row customHeight="1" ht="24.95" r="5">
      <c r="A5" s="508" t="n"/>
      <c r="B5" s="568" t="inlineStr">
        <is>
          <t>Pressure Sensors ( A )
压力传感器</t>
        </is>
      </c>
      <c r="C5" s="569" t="inlineStr">
        <is>
          <t>SSI-P51-15-G-UC-I36-20mA-000-000</t>
        </is>
      </c>
      <c r="D5" s="570" t="inlineStr">
        <is>
          <t>152931214</t>
        </is>
      </c>
      <c r="E5" s="586" t="inlineStr">
        <is>
          <t>-</t>
        </is>
      </c>
    </row>
    <row customHeight="1" ht="24.95" r="6">
      <c r="A6" s="378" t="inlineStr">
        <is>
          <t>Oscilloscope
示波器</t>
        </is>
      </c>
      <c r="B6" s="571" t="inlineStr">
        <is>
          <t>IWATSU AC current sensor
交流电流传感器</t>
        </is>
      </c>
      <c r="C6" s="572" t="inlineStr">
        <is>
          <t>BB167140153</t>
        </is>
      </c>
      <c r="D6" s="573" t="n"/>
      <c r="E6" s="574" t="inlineStr">
        <is>
          <t>Peak current 1200A, Sensitivity 5mV/A</t>
        </is>
      </c>
    </row>
    <row customHeight="1" ht="24.95" r="7">
      <c r="A7" s="26" t="n"/>
      <c r="B7" s="571" t="inlineStr">
        <is>
          <t>High Voltage differential Probe ( Front )
高压差分探头 ( 前 )</t>
        </is>
      </c>
      <c r="C7" s="574" t="n"/>
      <c r="D7" s="573" t="n"/>
      <c r="E7" s="574" t="inlineStr">
        <is>
          <t>TELEDYNE LECROR HVD3102 1500VPK</t>
        </is>
      </c>
    </row>
    <row customHeight="1" ht="24.95" r="8">
      <c r="A8" s="30" t="n"/>
      <c r="B8" s="571" t="inlineStr">
        <is>
          <t>High Voltage differential Probe ( Rear )
高压差分探头  ( 后 )</t>
        </is>
      </c>
      <c r="C8" s="574" t="n"/>
      <c r="D8" s="573" t="n"/>
      <c r="E8" s="574" t="inlineStr">
        <is>
          <t>TELEDYNE LECROR HVD3102 1500VPK</t>
        </is>
      </c>
    </row>
    <row customHeight="1" ht="24.95" r="9">
      <c r="A9" s="571" t="inlineStr">
        <is>
          <t>Power Cabinet 
动力来源</t>
        </is>
      </c>
      <c r="B9" s="13" t="n"/>
      <c r="C9" s="575" t="inlineStr">
        <is>
          <t>MES50KWDCPS</t>
        </is>
      </c>
      <c r="D9" s="576" t="inlineStr">
        <is>
          <t>`2016-03-1</t>
        </is>
      </c>
      <c r="E9" s="587" t="inlineStr">
        <is>
          <t>-</t>
        </is>
      </c>
    </row>
    <row customHeight="1" ht="24.95" r="10">
      <c r="A10" s="378" t="inlineStr">
        <is>
          <t>Power Analyser
动力分析仪</t>
        </is>
      </c>
      <c r="B10" s="571" t="inlineStr">
        <is>
          <t>PPA AC Current clamp - U
PPA交流钳-U</t>
        </is>
      </c>
      <c r="C10" s="574" t="n"/>
      <c r="D10" s="567" t="inlineStr">
        <is>
          <t>None</t>
        </is>
      </c>
      <c r="E10" s="588" t="n"/>
    </row>
    <row customHeight="1" ht="24.95" r="11">
      <c r="A11" s="26" t="n"/>
      <c r="B11" s="571" t="inlineStr">
        <is>
          <t>PPA AC Current clamp - V
PPA交流钳-V</t>
        </is>
      </c>
      <c r="C11" s="574" t="n"/>
      <c r="D11" s="567" t="inlineStr">
        <is>
          <t>None</t>
        </is>
      </c>
      <c r="E11" s="588" t="n"/>
    </row>
    <row customHeight="1" ht="24.95" r="12">
      <c r="A12" s="26" t="n"/>
      <c r="B12" s="571" t="inlineStr">
        <is>
          <t>PPA AC Current clamp - W
PPA交流钳-W</t>
        </is>
      </c>
      <c r="C12" s="574" t="n"/>
      <c r="D12" s="567" t="inlineStr">
        <is>
          <t>None</t>
        </is>
      </c>
      <c r="E12" s="574" t="n"/>
    </row>
    <row customHeight="1" ht="24.95" r="13">
      <c r="A13" s="30" t="n"/>
      <c r="B13" s="571" t="inlineStr">
        <is>
          <t>PPA DC Current clamp - DUT
PPA直流电流前</t>
        </is>
      </c>
      <c r="C13" s="574" t="n"/>
      <c r="D13" s="567" t="inlineStr">
        <is>
          <t>None</t>
        </is>
      </c>
      <c r="E13" s="574" t="n"/>
    </row>
    <row customHeight="1" ht="24.95" r="14">
      <c r="A14" s="560" t="inlineStr">
        <is>
          <t>Dynamometer
测功端</t>
        </is>
      </c>
      <c r="B14" s="561" t="inlineStr">
        <is>
          <t>Motor ( B )
负载端电机</t>
        </is>
      </c>
      <c r="C14" s="562" t="inlineStr">
        <is>
          <t>REMY HVH250</t>
        </is>
      </c>
      <c r="D14" s="577" t="inlineStr">
        <is>
          <t>FSCC2204-1</t>
        </is>
      </c>
      <c r="E14" s="584" t="inlineStr">
        <is>
          <t>Remy HVH250 - 115D</t>
        </is>
      </c>
    </row>
    <row customHeight="1" ht="24.95" r="15">
      <c r="A15" s="397" t="n"/>
      <c r="B15" s="564" t="inlineStr">
        <is>
          <t>Inverter ( B )
逆变器</t>
        </is>
      </c>
      <c r="C15" s="565" t="inlineStr">
        <is>
          <t>RMS PM250DZR</t>
        </is>
      </c>
      <c r="D15" s="566" t="n">
        <v>170</v>
      </c>
      <c r="E15" s="585" t="inlineStr">
        <is>
          <t>RMS PM250DZR, Cont. current 450Arms, Peak current 600Arms</t>
        </is>
      </c>
    </row>
    <row customHeight="1" ht="24.95" r="16">
      <c r="A16" s="397" t="n"/>
      <c r="B16" s="564" t="inlineStr">
        <is>
          <t>Flowmeters ( B )
流量计</t>
        </is>
      </c>
      <c r="C16" s="565" t="inlineStr">
        <is>
          <t>FTB4700</t>
        </is>
      </c>
      <c r="D16" s="567" t="inlineStr">
        <is>
          <t>None</t>
        </is>
      </c>
      <c r="E16" s="585" t="inlineStr">
        <is>
          <t>FTB4700 SERIES LOW FLOW METER</t>
        </is>
      </c>
    </row>
    <row customHeight="1" ht="24.95" r="17">
      <c r="A17" s="508" t="n"/>
      <c r="B17" s="568" t="inlineStr">
        <is>
          <t>Pressure Sensors ( B )
压力传感器</t>
        </is>
      </c>
      <c r="C17" s="569" t="inlineStr">
        <is>
          <t>None Monitoring</t>
        </is>
      </c>
      <c r="D17" s="567" t="inlineStr">
        <is>
          <t>None</t>
        </is>
      </c>
      <c r="E17" s="586" t="inlineStr">
        <is>
          <t>-</t>
        </is>
      </c>
    </row>
    <row customHeight="1" ht="24.95" r="18">
      <c r="A18" s="578" t="inlineStr">
        <is>
          <t>Torquemeter
扭矩传感器</t>
        </is>
      </c>
      <c r="B18" s="25" t="n"/>
      <c r="C18" s="579" t="inlineStr">
        <is>
          <t>HBM T40B</t>
        </is>
      </c>
      <c r="D18" s="567" t="inlineStr">
        <is>
          <t>None</t>
        </is>
      </c>
      <c r="E18" s="589" t="inlineStr">
        <is>
          <t>HBM T40B Nominal Speed 10000-20000rpm, accuracy class 0.05 voltage ±10V current 4-20 MA</t>
        </is>
      </c>
    </row>
    <row customHeight="1" ht="24.95" r="19">
      <c r="A19" s="571" t="inlineStr">
        <is>
          <t>Vibration Sensor
振动传感器</t>
        </is>
      </c>
      <c r="B19" s="13" t="n"/>
      <c r="C19" s="580" t="n"/>
      <c r="D19" s="581" t="inlineStr">
        <is>
          <t>None</t>
        </is>
      </c>
      <c r="E19" s="574" t="n"/>
    </row>
    <row customHeight="1" ht="71.25" r="20">
      <c r="A20" s="582" t="inlineStr">
        <is>
          <t>Notes:
1. The purpose of this table is to follow up the status of each test instrument (signal sensitivity, calibration…), test team should be updated it with a certain period.
这个表的目的是跟踪每个测试仪器的状态(信号灵敏度校准…)，测试团队应该规律性更新。</t>
        </is>
      </c>
      <c r="B20" s="36" t="n"/>
      <c r="C20" s="36" t="n"/>
      <c r="D20" s="36" t="n"/>
      <c r="E20" s="13" t="n"/>
    </row>
  </sheetData>
  <mergeCells count="8">
    <mergeCell ref="A9:B9"/>
    <mergeCell ref="A18:B18"/>
    <mergeCell ref="A19:B19"/>
    <mergeCell ref="A20:E20"/>
    <mergeCell ref="A2:A5"/>
    <mergeCell ref="A6:A8"/>
    <mergeCell ref="A10:A13"/>
    <mergeCell ref="A14:A17"/>
  </mergeCells>
  <dataValidations count="10">
    <dataValidation allowBlank="0" showErrorMessage="1" showInputMessage="1" sqref="C2" type="list">
      <formula1>"M21S5-D-18LHYY,M21S5-D-18RHYY,M21P5-S-18XXYY,M24P5-S-18XXYY"</formula1>
    </dataValidation>
    <dataValidation allowBlank="0" showErrorMessage="1" showInputMessage="1" sqref="C3 C15" type="list">
      <formula1>"RMS PM250DZ,RMS PM150DZR,RMS RM100DX"</formula1>
    </dataValidation>
    <dataValidation allowBlank="0" showErrorMessage="1" showInputMessage="1" sqref="C4 C16" type="list">
      <formula1>"None Monitoring,FTB4700"</formula1>
    </dataValidation>
    <dataValidation allowBlank="0" showErrorMessage="1" showInputMessage="1" sqref="D4 D10:D13 D16:D17 D18:D19" type="list">
      <formula1>"None"</formula1>
    </dataValidation>
    <dataValidation allowBlank="0" showErrorMessage="1" showInputMessage="1" sqref="C5 C17" type="list">
      <formula1>"None Monitoring, SSI-P51-15-G-UC-I36-20mA-000-000"</formula1>
    </dataValidation>
    <dataValidation allowBlank="0" showErrorMessage="1" showInputMessage="1" sqref="D5" type="list">
      <formula1>"Unrecorded,152931214"</formula1>
    </dataValidation>
    <dataValidation allowBlank="0" showErrorMessage="1" showInputMessage="1" sqref="D9" type="list">
      <formula1>"`2016-03-1,`2016-03-2,`2016-03-3,`2016-03-4"</formula1>
    </dataValidation>
    <dataValidation allowBlank="0" showErrorMessage="1" showInputMessage="1" sqref="C14" type="list">
      <formula1>"REMY HVH250"</formula1>
    </dataValidation>
    <dataValidation allowBlank="0" showErrorMessage="1" showInputMessage="1" sqref="D14" type="list">
      <formula1>"FSCC2204-1"</formula1>
    </dataValidation>
    <dataValidation allowBlank="0" showErrorMessage="1" showInputMessage="1" sqref="C18" type="list">
      <formula1>"HBM T40B"</formula1>
    </dataValidation>
  </dataValidations>
  <pageMargins bottom="0.3" footer="0.3" header="0.3" left="0.3" right="0.3" top="0.3"/>
  <pageSetup orientation="landscape" paperSize="9" scale="81"/>
</worksheet>
</file>

<file path=xl/worksheets/sheet2.xml><?xml version="1.0" encoding="utf-8"?>
<worksheet xmlns="http://schemas.openxmlformats.org/spreadsheetml/2006/main">
  <sheetPr>
    <outlinePr summaryBelow="1" summaryRight="1"/>
    <pageSetUpPr/>
  </sheetPr>
  <dimension ref="A1:F53"/>
  <sheetViews>
    <sheetView topLeftCell="A31" workbookViewId="0">
      <selection activeCell="F49" sqref="F49"/>
    </sheetView>
  </sheetViews>
  <sheetFormatPr baseColWidth="8" defaultColWidth="9" defaultRowHeight="16.8"/>
  <cols>
    <col customWidth="1" max="1" min="1" width="5.85576923076923"/>
    <col customWidth="1" max="2" min="2" width="15.2884615384615"/>
    <col customWidth="1" max="3" min="3" width="32.4230769230769"/>
    <col customWidth="1" max="4" min="4" width="8.56730769230769"/>
    <col customWidth="1" max="5" min="5" width="56.7115384615385"/>
    <col customWidth="1" max="6" min="6" style="224" width="9.14423076923077"/>
  </cols>
  <sheetData>
    <row r="1">
      <c r="A1" s="530" t="inlineStr">
        <is>
          <t>Num.</t>
        </is>
      </c>
      <c r="B1" s="531" t="inlineStr">
        <is>
          <t>Test Items</t>
        </is>
      </c>
      <c r="C1" s="25" t="n"/>
      <c r="D1" s="531" t="inlineStr">
        <is>
          <t>Unit</t>
        </is>
      </c>
      <c r="E1" s="535" t="inlineStr">
        <is>
          <t>Conditions</t>
        </is>
      </c>
      <c r="F1" s="541" t="n"/>
    </row>
    <row r="2">
      <c r="A2" s="26" t="n"/>
      <c r="B2" s="75" t="n"/>
      <c r="C2" s="76" t="n"/>
      <c r="D2" s="26" t="n"/>
      <c r="E2" s="26" t="n"/>
      <c r="F2" s="541" t="n"/>
    </row>
    <row r="3">
      <c r="A3" s="30" t="n"/>
      <c r="B3" s="27" t="n"/>
      <c r="C3" s="29" t="n"/>
      <c r="D3" s="30" t="n"/>
      <c r="E3" s="30" t="n"/>
      <c r="F3" s="541" t="n"/>
    </row>
    <row customHeight="1" ht="17" r="4">
      <c r="A4" s="532" t="n">
        <v>1</v>
      </c>
      <c r="B4" s="533" t="inlineStr">
        <is>
          <t>Winding Resistance &amp; Insulation</t>
        </is>
      </c>
      <c r="C4" s="533" t="inlineStr">
        <is>
          <t>winding resistance(Target value)</t>
        </is>
      </c>
      <c r="D4" s="534" t="inlineStr">
        <is>
          <t>[mΩ]</t>
        </is>
      </c>
      <c r="E4" s="534" t="inlineStr">
        <is>
          <t>@20℃</t>
        </is>
      </c>
      <c r="F4" s="590" t="n"/>
    </row>
    <row customHeight="1" ht="17" r="5">
      <c r="A5" s="26" t="n"/>
      <c r="B5" s="26" t="n"/>
      <c r="C5" s="533" t="inlineStr">
        <is>
          <t>winding resistance(Test value)</t>
        </is>
      </c>
      <c r="D5" s="534" t="inlineStr">
        <is>
          <t>[mΩ]</t>
        </is>
      </c>
      <c r="E5" s="26" t="n"/>
      <c r="F5" s="591">
        <f>('IR measure'!A11+'IR measure'!C11+'IR measure'!F11)/3</f>
        <v/>
      </c>
    </row>
    <row customHeight="1" ht="34" r="6">
      <c r="A6" s="26" t="n"/>
      <c r="B6" s="26" t="n"/>
      <c r="C6" s="533" t="inlineStr">
        <is>
          <t>Difference between test value and target value</t>
        </is>
      </c>
      <c r="D6" s="534" t="inlineStr">
        <is>
          <t>[mΩ]</t>
        </is>
      </c>
      <c r="E6" s="30" t="n"/>
      <c r="F6" s="592">
        <f>F5-F4</f>
        <v/>
      </c>
    </row>
    <row customHeight="1" ht="17" r="7">
      <c r="A7" s="26" t="n"/>
      <c r="B7" s="26" t="n"/>
      <c r="C7" s="533" t="inlineStr">
        <is>
          <t>insulation resistance</t>
        </is>
      </c>
      <c r="D7" s="534" t="inlineStr">
        <is>
          <t>[GΩ]</t>
        </is>
      </c>
      <c r="E7" s="533" t="inlineStr">
        <is>
          <t>@1000VDC,60sec &amp;20℃</t>
        </is>
      </c>
      <c r="F7" s="593">
        <f>'IR measure'!I11</f>
        <v/>
      </c>
    </row>
    <row customHeight="1" ht="17" r="8">
      <c r="A8" s="26" t="n"/>
      <c r="B8" s="26" t="n"/>
      <c r="C8" s="533" t="inlineStr">
        <is>
          <t>corrected IR</t>
        </is>
      </c>
      <c r="D8" s="534" t="inlineStr">
        <is>
          <t>[GΩ]</t>
        </is>
      </c>
      <c r="E8" s="533" t="inlineStr">
        <is>
          <t>@1000VDC,60sec &amp;40℃</t>
        </is>
      </c>
      <c r="F8" s="593">
        <f>'IR measure'!H7</f>
        <v/>
      </c>
    </row>
    <row customHeight="1" ht="17" r="9">
      <c r="A9" s="26" t="n"/>
      <c r="B9" s="26" t="n"/>
      <c r="C9" s="533" t="inlineStr">
        <is>
          <t>DAR(60 seconds/30seconds)</t>
        </is>
      </c>
      <c r="D9" s="534" t="inlineStr">
        <is>
          <t>[]</t>
        </is>
      </c>
      <c r="E9" s="533" t="n"/>
      <c r="F9" s="593">
        <f>'IR measure'!E7</f>
        <v/>
      </c>
    </row>
    <row customHeight="1" ht="17" r="10">
      <c r="A10" s="26" t="n"/>
      <c r="B10" s="26" t="n"/>
      <c r="C10" s="533" t="inlineStr">
        <is>
          <t>IR Hipot test</t>
        </is>
      </c>
      <c r="D10" s="534" t="inlineStr">
        <is>
          <t>[GΩ]</t>
        </is>
      </c>
      <c r="E10" s="533" t="inlineStr">
        <is>
          <t>@3505VDC</t>
        </is>
      </c>
      <c r="F10" s="590">
        <f>'IR measure'!L11</f>
        <v/>
      </c>
    </row>
    <row customHeight="1" ht="17" r="11">
      <c r="A11" s="30" t="n"/>
      <c r="B11" s="30" t="n"/>
      <c r="C11" s="533" t="inlineStr">
        <is>
          <t>Surge test</t>
        </is>
      </c>
      <c r="D11" s="534" t="inlineStr">
        <is>
          <t>[]</t>
        </is>
      </c>
      <c r="E11" s="533" t="inlineStr">
        <is>
          <t>@1744V</t>
        </is>
      </c>
      <c r="F11" s="590" t="inlineStr">
        <is>
          <t>Pass</t>
        </is>
      </c>
    </row>
    <row customHeight="1" ht="51" r="12">
      <c r="A12" s="530" t="n">
        <v>2</v>
      </c>
      <c r="B12" s="535" t="inlineStr">
        <is>
          <t>Resolver Offset (Electric Angle)</t>
        </is>
      </c>
      <c r="C12" s="13" t="n"/>
      <c r="D12" s="531" t="inlineStr">
        <is>
          <t>[Deg]</t>
        </is>
      </c>
      <c r="E12" s="535" t="inlineStr">
        <is>
          <t>Motor_Type_Options: 50
MCU A B C to Motor U V W
DUT Feedback speed: 1000rpm</t>
        </is>
      </c>
      <c r="F12" s="594">
        <f>'6. PM Parameters Setup'!M28</f>
        <v/>
      </c>
    </row>
    <row customHeight="1" ht="51" r="13">
      <c r="A13" s="532" t="n">
        <v>3</v>
      </c>
      <c r="B13" s="533" t="inlineStr">
        <is>
          <t>Front &amp; Rear Stator BEMF</t>
        </is>
      </c>
      <c r="C13" s="595" t="inlineStr">
        <is>
          <t>Front Stator</t>
        </is>
      </c>
      <c r="D13" s="596" t="inlineStr">
        <is>
          <t>[Vrms_peak_peak]</t>
        </is>
      </c>
      <c r="E13" s="533" t="inlineStr">
        <is>
          <t>1000rpm</t>
        </is>
      </c>
      <c r="F13" s="593">
        <f>'2.Circuiting I &amp; 3.Drag Nm'!D5</f>
        <v/>
      </c>
    </row>
    <row customHeight="1" ht="51" r="14">
      <c r="A14" s="26" t="n"/>
      <c r="B14" s="26" t="n"/>
      <c r="C14" s="595" t="inlineStr">
        <is>
          <t>Rear Stator</t>
        </is>
      </c>
      <c r="D14" s="596" t="inlineStr">
        <is>
          <t>[Vrms_peak_peak]</t>
        </is>
      </c>
      <c r="E14" s="26" t="n"/>
      <c r="F14" s="593">
        <f>'2.Circuiting I &amp; 3.Drag Nm'!E5</f>
        <v/>
      </c>
    </row>
    <row customHeight="1" ht="17" r="15">
      <c r="A15" s="30" t="n"/>
      <c r="B15" s="30" t="n"/>
      <c r="C15" s="533" t="inlineStr">
        <is>
          <t>Voltage Difference</t>
        </is>
      </c>
      <c r="D15" s="534" t="inlineStr">
        <is>
          <t>[Vrms]</t>
        </is>
      </c>
      <c r="E15" s="30" t="n"/>
      <c r="F15" s="590">
        <f>F14-F13</f>
        <v/>
      </c>
    </row>
    <row customHeight="1" ht="17" r="16">
      <c r="A16" s="530" t="n">
        <v>4</v>
      </c>
      <c r="B16" s="535" t="inlineStr">
        <is>
          <t>Recirculating Current</t>
        </is>
      </c>
      <c r="C16" s="13" t="n"/>
      <c r="D16" s="531" t="inlineStr">
        <is>
          <t>[Arms]</t>
        </is>
      </c>
      <c r="E16" s="535" t="inlineStr">
        <is>
          <t>4000rpm</t>
        </is>
      </c>
      <c r="F16" s="594">
        <f>'2.Circuiting I &amp; 3.Drag Nm'!E15</f>
        <v/>
      </c>
    </row>
    <row customHeight="1" ht="17" r="17">
      <c r="A17" s="532" t="n">
        <v>5</v>
      </c>
      <c r="B17" s="533" t="inlineStr">
        <is>
          <t>No Load Torque</t>
        </is>
      </c>
      <c r="C17" s="13" t="n"/>
      <c r="D17" s="534" t="inlineStr">
        <is>
          <t>[Nm]</t>
        </is>
      </c>
      <c r="E17" s="533" t="inlineStr">
        <is>
          <t>4000rpm</t>
        </is>
      </c>
      <c r="F17" s="545">
        <f>'2.Circuiting I &amp; 3.Drag Nm'!D26</f>
        <v/>
      </c>
    </row>
    <row customHeight="1" ht="68" r="18">
      <c r="A18" s="530" t="n">
        <v>6</v>
      </c>
      <c r="B18" s="531" t="inlineStr">
        <is>
          <t>Motor Back EMF</t>
        </is>
      </c>
      <c r="C18" s="535" t="inlineStr">
        <is>
          <t>BEMF Constant Ke(Targgt value)</t>
        </is>
      </c>
      <c r="D18" s="531" t="inlineStr">
        <is>
          <t>[Vrms_ph-ph/(rad/s)]</t>
        </is>
      </c>
      <c r="E18" s="531" t="inlineStr">
        <is>
          <t>Coolant 55°C, 1000rpm</t>
        </is>
      </c>
      <c r="F18" s="546" t="n"/>
    </row>
    <row customHeight="1" ht="68" r="19">
      <c r="A19" s="26" t="n"/>
      <c r="B19" s="26" t="n"/>
      <c r="C19" s="535" t="inlineStr">
        <is>
          <t>BEMF Constant Ke(Test value)</t>
        </is>
      </c>
      <c r="D19" s="531" t="inlineStr">
        <is>
          <t>[Vrms_ph-ph/(rad/s)]</t>
        </is>
      </c>
      <c r="E19" s="26" t="n"/>
      <c r="F19" s="547">
        <f>'4.Motor BEMF'!E25</f>
        <v/>
      </c>
    </row>
    <row customHeight="1" ht="34" r="20">
      <c r="A20" s="30" t="n"/>
      <c r="B20" s="30" t="n"/>
      <c r="C20" s="535" t="inlineStr">
        <is>
          <t>Difference between test value and target value</t>
        </is>
      </c>
      <c r="D20" s="531" t="inlineStr">
        <is>
          <t>[%]</t>
        </is>
      </c>
      <c r="E20" s="30" t="n"/>
      <c r="F20" s="548">
        <f>1-(F19/F18)</f>
        <v/>
      </c>
    </row>
    <row customHeight="1" ht="17" r="21">
      <c r="A21" s="532" t="n">
        <v>7</v>
      </c>
      <c r="B21" s="533" t="inlineStr">
        <is>
          <t>Short - Circuit</t>
        </is>
      </c>
      <c r="C21" s="595" t="inlineStr">
        <is>
          <t>Phase U Current</t>
        </is>
      </c>
      <c r="D21" s="596" t="inlineStr">
        <is>
          <t>[Arms]</t>
        </is>
      </c>
      <c r="E21" s="533" t="inlineStr">
        <is>
          <t>Coolant 55°C, 8lpm, 4000rpm</t>
        </is>
      </c>
      <c r="F21" s="590">
        <f>'5. Short circuit'!M10</f>
        <v/>
      </c>
    </row>
    <row customHeight="1" ht="17" r="22">
      <c r="A22" s="26" t="n"/>
      <c r="B22" s="26" t="n"/>
      <c r="C22" s="595" t="inlineStr">
        <is>
          <t>Phase V Current</t>
        </is>
      </c>
      <c r="D22" s="596" t="inlineStr">
        <is>
          <t>[Arms]</t>
        </is>
      </c>
      <c r="E22" s="26" t="n"/>
      <c r="F22" s="590">
        <f>'5. Short circuit'!M12</f>
        <v/>
      </c>
    </row>
    <row customHeight="1" ht="17" r="23">
      <c r="A23" s="26" t="n"/>
      <c r="B23" s="26" t="n"/>
      <c r="C23" s="595" t="inlineStr">
        <is>
          <t>Phase W Current</t>
        </is>
      </c>
      <c r="D23" s="596" t="inlineStr">
        <is>
          <t>[Arms]</t>
        </is>
      </c>
      <c r="E23" s="26" t="n"/>
      <c r="F23" s="590">
        <f>'5. Short circuit'!M14</f>
        <v/>
      </c>
    </row>
    <row customHeight="1" ht="17" r="24">
      <c r="A24" s="30" t="n"/>
      <c r="B24" s="30" t="n"/>
      <c r="C24" s="533" t="inlineStr">
        <is>
          <t>Torque</t>
        </is>
      </c>
      <c r="D24" s="534" t="inlineStr">
        <is>
          <t>[Nm]</t>
        </is>
      </c>
      <c r="E24" s="30" t="n"/>
      <c r="F24" s="590">
        <f>'5. Short circuit'!M20</f>
        <v/>
      </c>
    </row>
    <row customHeight="1" ht="34" r="25">
      <c r="A25" s="530" t="n">
        <v>8</v>
      </c>
      <c r="B25" s="535" t="inlineStr">
        <is>
          <t>Motor Torque vs. Phase Current</t>
        </is>
      </c>
      <c r="C25" s="535" t="inlineStr">
        <is>
          <t>Maximum Motor Torque(Targgt value)</t>
        </is>
      </c>
      <c r="D25" s="531" t="inlineStr">
        <is>
          <t>[Nm]</t>
        </is>
      </c>
      <c r="E25" s="531" t="inlineStr">
        <is>
          <t>Coolant 55°C,  500rpm</t>
        </is>
      </c>
      <c r="F25" s="594" t="n"/>
    </row>
    <row customHeight="1" ht="34" r="26">
      <c r="A26" s="26" t="n"/>
      <c r="B26" s="26" t="n"/>
      <c r="C26" s="597" t="inlineStr">
        <is>
          <t>Maximum Motor Torque(Test value)</t>
        </is>
      </c>
      <c r="D26" s="598" t="inlineStr">
        <is>
          <t>[Nm]</t>
        </is>
      </c>
      <c r="E26" s="26" t="n"/>
      <c r="F26" s="594">
        <f>'7. Torque vs. Phase Current'!K16</f>
        <v/>
      </c>
    </row>
    <row customHeight="1" ht="34" r="27">
      <c r="A27" s="26" t="n"/>
      <c r="B27" s="26" t="n"/>
      <c r="C27" s="535" t="inlineStr">
        <is>
          <t>Difference between test value and target value</t>
        </is>
      </c>
      <c r="D27" s="531" t="inlineStr">
        <is>
          <t>[%]</t>
        </is>
      </c>
      <c r="E27" s="30" t="n"/>
      <c r="F27" s="548">
        <f>1-F26/F25</f>
        <v/>
      </c>
    </row>
    <row customHeight="1" ht="17" r="28">
      <c r="A28" s="26" t="n"/>
      <c r="B28" s="26" t="n"/>
      <c r="C28" s="535" t="inlineStr">
        <is>
          <t>Torque Constant Kt</t>
        </is>
      </c>
      <c r="D28" s="531" t="inlineStr">
        <is>
          <t>[Nm/Arms]</t>
        </is>
      </c>
      <c r="E28" s="535" t="inlineStr">
        <is>
          <t>50Arms(Targgt value)</t>
        </is>
      </c>
      <c r="F28" s="547" t="n"/>
    </row>
    <row customHeight="1" ht="17" r="29">
      <c r="A29" s="26" t="n"/>
      <c r="B29" s="26" t="n"/>
      <c r="C29" s="26" t="n"/>
      <c r="D29" s="26" t="n"/>
      <c r="E29" s="535" t="inlineStr">
        <is>
          <t>50Arms(Test value)</t>
        </is>
      </c>
      <c r="F29" s="547">
        <f>'7. Torque vs. Phase Current'!E17</f>
        <v/>
      </c>
    </row>
    <row customHeight="1" ht="17" r="30">
      <c r="A30" s="26" t="n"/>
      <c r="B30" s="26" t="n"/>
      <c r="C30" s="26" t="n"/>
      <c r="D30" s="26" t="n"/>
      <c r="E30" s="535" t="inlineStr">
        <is>
          <t>Difference between test value and target value[%]</t>
        </is>
      </c>
      <c r="F30" s="548">
        <f>1-F29/F28</f>
        <v/>
      </c>
    </row>
    <row customHeight="1" ht="17" r="31">
      <c r="A31" s="26" t="n"/>
      <c r="B31" s="26" t="n"/>
      <c r="C31" s="26" t="n"/>
      <c r="D31" s="26" t="n"/>
      <c r="E31" s="535" t="inlineStr">
        <is>
          <t>150Arms</t>
        </is>
      </c>
      <c r="F31" s="547">
        <f>'7. Torque vs. Phase Current'!G17</f>
        <v/>
      </c>
    </row>
    <row customHeight="1" ht="17" r="32">
      <c r="A32" s="30" t="n"/>
      <c r="B32" s="30" t="n"/>
      <c r="C32" s="30" t="n"/>
      <c r="D32" s="30" t="n"/>
      <c r="E32" s="535" t="inlineStr">
        <is>
          <t>350Arms</t>
        </is>
      </c>
      <c r="F32" s="547">
        <f>'7. Torque vs. Phase Current'!K16</f>
        <v/>
      </c>
    </row>
    <row customHeight="1" ht="17" r="33">
      <c r="A33" s="599" t="n">
        <v>9</v>
      </c>
      <c r="B33" s="596" t="inlineStr">
        <is>
          <t>Winding Heating</t>
        </is>
      </c>
      <c r="C33" s="595" t="inlineStr">
        <is>
          <t>∆T after 8mins RTD1</t>
        </is>
      </c>
      <c r="D33" s="596" t="inlineStr">
        <is>
          <t>[°C]</t>
        </is>
      </c>
      <c r="E33" s="596" t="inlineStr">
        <is>
          <t>Heating from 60°C, 100Arms, 500rpm, Coolant 55°C, 8lpm</t>
        </is>
      </c>
      <c r="F33" s="600">
        <f>'8. Winding Heating'!E21</f>
        <v/>
      </c>
    </row>
    <row customHeight="1" ht="17" r="34">
      <c r="A34" s="30" t="n"/>
      <c r="B34" s="30" t="n"/>
      <c r="C34" s="595" t="inlineStr">
        <is>
          <t>∆T after 8mins RTD2</t>
        </is>
      </c>
      <c r="D34" s="30" t="n"/>
      <c r="E34" s="30" t="n"/>
      <c r="F34" s="600">
        <f>'8. Winding Heating'!G21</f>
        <v/>
      </c>
    </row>
    <row customHeight="1" ht="17" r="35">
      <c r="A35" s="530" t="n">
        <v>10</v>
      </c>
      <c r="B35" s="535" t="inlineStr">
        <is>
          <t>Continue Torque Measurement</t>
        </is>
      </c>
      <c r="C35" s="535" t="inlineStr">
        <is>
          <t>Continuous Torque (Target value)</t>
        </is>
      </c>
      <c r="D35" s="531" t="inlineStr">
        <is>
          <t>[Nm]</t>
        </is>
      </c>
      <c r="E35" s="535" t="inlineStr">
        <is>
          <t>500rpm, 600VDC, Max. Twinding: 150°C, Coolant 55°C, 8lpm</t>
        </is>
      </c>
      <c r="F35" s="550" t="n"/>
    </row>
    <row customHeight="1" ht="17" r="36">
      <c r="A36" s="26" t="n"/>
      <c r="B36" s="26" t="n"/>
      <c r="C36" s="597" t="inlineStr">
        <is>
          <t>Continuous Torque (Test value)</t>
        </is>
      </c>
      <c r="D36" s="598" t="inlineStr">
        <is>
          <t>[Nm]</t>
        </is>
      </c>
      <c r="E36" s="26" t="n"/>
      <c r="F36" s="601">
        <f>'9. Cont. Torque Curve'!G27</f>
        <v/>
      </c>
    </row>
    <row customHeight="1" ht="34" r="37">
      <c r="A37" s="26" t="n"/>
      <c r="B37" s="26" t="n"/>
      <c r="C37" s="597" t="inlineStr">
        <is>
          <t>Difference between test value and target value</t>
        </is>
      </c>
      <c r="D37" s="598" t="inlineStr">
        <is>
          <t>[%]</t>
        </is>
      </c>
      <c r="E37" s="26" t="n"/>
      <c r="F37" s="548">
        <f>1-F36/F35</f>
        <v/>
      </c>
    </row>
    <row customHeight="1" ht="17" r="38">
      <c r="A38" s="26" t="n"/>
      <c r="B38" s="26" t="n"/>
      <c r="C38" s="597" t="inlineStr">
        <is>
          <t>Continuous Current</t>
        </is>
      </c>
      <c r="D38" s="598" t="inlineStr">
        <is>
          <t>[Arms]</t>
        </is>
      </c>
      <c r="E38" s="26" t="n"/>
      <c r="F38" s="601">
        <f>'9. Cont. Torque Curve'!G38</f>
        <v/>
      </c>
    </row>
    <row customHeight="1" ht="17" r="39">
      <c r="A39" s="26" t="n"/>
      <c r="B39" s="26" t="n"/>
      <c r="C39" s="597" t="inlineStr">
        <is>
          <t>Continuous Power</t>
        </is>
      </c>
      <c r="D39" s="598" t="inlineStr">
        <is>
          <t>[kW]</t>
        </is>
      </c>
      <c r="E39" s="26" t="n"/>
      <c r="F39" s="601">
        <f>'9. Cont. Torque Curve'!G40</f>
        <v/>
      </c>
    </row>
    <row customHeight="1" ht="17" r="40">
      <c r="A40" s="26" t="n"/>
      <c r="B40" s="26" t="n"/>
      <c r="C40" s="535" t="inlineStr">
        <is>
          <t>Efficiency</t>
        </is>
      </c>
      <c r="D40" s="531" t="inlineStr">
        <is>
          <t>[]</t>
        </is>
      </c>
      <c r="E40" s="26" t="n"/>
      <c r="F40" s="552">
        <f>'9. Cont. Torque Curve'!G52</f>
        <v/>
      </c>
    </row>
    <row customHeight="1" ht="34" r="41">
      <c r="A41" s="26" t="n"/>
      <c r="B41" s="26" t="n"/>
      <c r="C41" s="535" t="inlineStr">
        <is>
          <t>Torque Constant Kt</t>
        </is>
      </c>
      <c r="D41" s="531" t="inlineStr">
        <is>
          <t>[Nm/Arms]</t>
        </is>
      </c>
      <c r="E41" s="26" t="n"/>
      <c r="F41" s="553">
        <f>'9. Cont. Torque Curve'!G49</f>
        <v/>
      </c>
    </row>
    <row customHeight="1" ht="17" r="42">
      <c r="A42" s="26" t="n"/>
      <c r="B42" s="26" t="n"/>
      <c r="C42" s="597" t="inlineStr">
        <is>
          <t>Winding temp. Diff.</t>
        </is>
      </c>
      <c r="D42" s="598" t="inlineStr">
        <is>
          <t>[°C]</t>
        </is>
      </c>
      <c r="E42" s="30" t="n"/>
      <c r="F42" s="601">
        <f>ABS('9. Cont. Torque Curve'!G22-'9. Cont. Torque Curve'!G23)</f>
        <v/>
      </c>
    </row>
    <row customHeight="1" ht="17" r="43">
      <c r="A43" s="26" t="n"/>
      <c r="B43" s="26" t="n"/>
      <c r="C43" s="597" t="inlineStr">
        <is>
          <t>Continuous Torque</t>
        </is>
      </c>
      <c r="D43" s="598" t="inlineStr">
        <is>
          <t>[Nm]</t>
        </is>
      </c>
      <c r="E43" s="535" t="inlineStr">
        <is>
          <t>6000rpm, 600VDC, Max.Twinding: 150°C, Coolant 55°C, 8lpm</t>
        </is>
      </c>
      <c r="F43" s="601">
        <f>'9. Cont. Torque Curve'!I27</f>
        <v/>
      </c>
    </row>
    <row customHeight="1" ht="17" r="44">
      <c r="A44" s="26" t="n"/>
      <c r="B44" s="26" t="n"/>
      <c r="C44" s="597" t="inlineStr">
        <is>
          <t>Continuous Current</t>
        </is>
      </c>
      <c r="D44" s="598" t="inlineStr">
        <is>
          <t>[Arms]</t>
        </is>
      </c>
      <c r="E44" s="26" t="n"/>
      <c r="F44" s="601">
        <f>'9. Cont. Torque Curve'!I38</f>
        <v/>
      </c>
    </row>
    <row customHeight="1" ht="17" r="45">
      <c r="A45" s="26" t="n"/>
      <c r="B45" s="26" t="n"/>
      <c r="C45" s="597" t="inlineStr">
        <is>
          <t>Continuous Power</t>
        </is>
      </c>
      <c r="D45" s="598" t="inlineStr">
        <is>
          <t>[kW]</t>
        </is>
      </c>
      <c r="E45" s="26" t="n"/>
      <c r="F45" s="602">
        <f>'9. Cont. Torque Curve'!I40</f>
        <v/>
      </c>
    </row>
    <row customHeight="1" ht="17" r="46">
      <c r="A46" s="26" t="n"/>
      <c r="B46" s="26" t="n"/>
      <c r="C46" s="535" t="inlineStr">
        <is>
          <t>Efficiency</t>
        </is>
      </c>
      <c r="D46" s="531" t="inlineStr">
        <is>
          <t>[]</t>
        </is>
      </c>
      <c r="E46" s="26" t="n"/>
      <c r="F46" s="552">
        <f>'9. Cont. Torque Curve'!I52</f>
        <v/>
      </c>
    </row>
    <row customHeight="1" ht="34" r="47">
      <c r="A47" s="26" t="n"/>
      <c r="B47" s="26" t="n"/>
      <c r="C47" s="535" t="inlineStr">
        <is>
          <t>Torque Constant Kt</t>
        </is>
      </c>
      <c r="D47" s="531" t="inlineStr">
        <is>
          <t>[Nm/Arms]</t>
        </is>
      </c>
      <c r="E47" s="26" t="n"/>
      <c r="F47" s="553">
        <f>'9. Cont. Torque Curve'!I48</f>
        <v/>
      </c>
    </row>
    <row customHeight="1" ht="17" r="48">
      <c r="A48" s="30" t="n"/>
      <c r="B48" s="30" t="n"/>
      <c r="C48" s="597" t="inlineStr">
        <is>
          <t>Winding temp. Diff.</t>
        </is>
      </c>
      <c r="D48" s="598" t="inlineStr">
        <is>
          <t>[°C]</t>
        </is>
      </c>
      <c r="E48" s="30" t="n"/>
      <c r="F48" s="601">
        <f>ABS('9. Cont. Torque Curve'!I22-'9. Cont. Torque Curve'!I23)</f>
        <v/>
      </c>
    </row>
    <row customHeight="1" ht="17" r="49">
      <c r="A49" s="532" t="n">
        <v>11</v>
      </c>
      <c r="B49" s="533" t="inlineStr">
        <is>
          <t>Efficiency Mapping</t>
        </is>
      </c>
      <c r="C49" s="533" t="inlineStr">
        <is>
          <t>Peak Efficiency</t>
        </is>
      </c>
      <c r="D49" s="534" t="inlineStr">
        <is>
          <t>[]</t>
        </is>
      </c>
      <c r="E49" s="533" t="inlineStr">
        <is>
          <t>600VDC,Twinding: 80~120°C, Coolant 45°C, 8lpm</t>
        </is>
      </c>
      <c r="F49" s="555" t="n"/>
    </row>
    <row customHeight="1" ht="17" r="50">
      <c r="A50" s="30" t="n"/>
      <c r="B50" s="30" t="n"/>
      <c r="C50" s="533" t="inlineStr">
        <is>
          <t>Percentage ≥96%</t>
        </is>
      </c>
      <c r="D50" s="534" t="inlineStr">
        <is>
          <t>[]</t>
        </is>
      </c>
      <c r="E50" s="30" t="n"/>
      <c r="F50" s="555" t="n"/>
    </row>
    <row customHeight="1" ht="17" r="51">
      <c r="A51" s="530" t="n">
        <v>12</v>
      </c>
      <c r="B51" s="535" t="inlineStr">
        <is>
          <t>High Speed Test</t>
        </is>
      </c>
      <c r="C51" s="535" t="inlineStr">
        <is>
          <t>Result</t>
        </is>
      </c>
      <c r="D51" s="531" t="inlineStr">
        <is>
          <t>[]</t>
        </is>
      </c>
      <c r="E51" s="535" t="inlineStr">
        <is>
          <t>12000rpm, without load, Starting from 35°C, after 5mins, 8lpm</t>
        </is>
      </c>
      <c r="F51" s="601" t="inlineStr">
        <is>
          <t>Pass</t>
        </is>
      </c>
    </row>
    <row customHeight="1" ht="17" r="52">
      <c r="A52" s="26" t="n"/>
      <c r="B52" s="26" t="n"/>
      <c r="C52" s="597" t="inlineStr">
        <is>
          <t>ending Temperature RTD1</t>
        </is>
      </c>
      <c r="D52" s="598" t="inlineStr">
        <is>
          <t>[°C]</t>
        </is>
      </c>
      <c r="E52" s="26" t="n"/>
      <c r="F52" s="601">
        <f>'11. High Speed'!F20</f>
        <v/>
      </c>
    </row>
    <row customHeight="1" ht="17" r="53">
      <c r="A53" s="30" t="n"/>
      <c r="B53" s="30" t="n"/>
      <c r="C53" s="597" t="inlineStr">
        <is>
          <t>ending Temperature RTD2</t>
        </is>
      </c>
      <c r="D53" s="598" t="inlineStr">
        <is>
          <t>[°C]</t>
        </is>
      </c>
      <c r="E53" s="30" t="n"/>
      <c r="F53" s="601">
        <f>'11. High Speed'!G20</f>
        <v/>
      </c>
    </row>
  </sheetData>
  <mergeCells count="38">
    <mergeCell ref="B12:C12"/>
    <mergeCell ref="B16:C16"/>
    <mergeCell ref="B17:C17"/>
    <mergeCell ref="A1:A3"/>
    <mergeCell ref="A4:A11"/>
    <mergeCell ref="A13:A15"/>
    <mergeCell ref="A18:A20"/>
    <mergeCell ref="A21:A24"/>
    <mergeCell ref="A25:A32"/>
    <mergeCell ref="A33:A34"/>
    <mergeCell ref="A35:A48"/>
    <mergeCell ref="A49:A50"/>
    <mergeCell ref="A51:A53"/>
    <mergeCell ref="B4:B11"/>
    <mergeCell ref="B13:B15"/>
    <mergeCell ref="B18:B20"/>
    <mergeCell ref="B21:B24"/>
    <mergeCell ref="B25:B32"/>
    <mergeCell ref="B33:B34"/>
    <mergeCell ref="B35:B48"/>
    <mergeCell ref="B49:B50"/>
    <mergeCell ref="B51:B53"/>
    <mergeCell ref="C28:C32"/>
    <mergeCell ref="D1:D3"/>
    <mergeCell ref="D28:D32"/>
    <mergeCell ref="D33:D34"/>
    <mergeCell ref="E1:E3"/>
    <mergeCell ref="E4:E6"/>
    <mergeCell ref="E13:E15"/>
    <mergeCell ref="E18:E20"/>
    <mergeCell ref="E21:E24"/>
    <mergeCell ref="E25:E27"/>
    <mergeCell ref="E33:E34"/>
    <mergeCell ref="E35:E42"/>
    <mergeCell ref="E43:E48"/>
    <mergeCell ref="E49:E50"/>
    <mergeCell ref="E51:E53"/>
    <mergeCell ref="B1:C3"/>
  </mergeCells>
  <dataValidations count="1">
    <dataValidation allowBlank="0" showErrorMessage="1" showInputMessage="1" sqref="F11 F51" type="list">
      <formula1>"Pass,Fail"</formula1>
    </dataValidation>
  </dataValidations>
  <pageMargins bottom="0.75" footer="0.3" header="0.3" left="0.699305555555556" right="0.699305555555556" top="0.75"/>
</worksheet>
</file>

<file path=xl/worksheets/sheet3.xml><?xml version="1.0" encoding="utf-8"?>
<worksheet xmlns="http://schemas.openxmlformats.org/spreadsheetml/2006/main">
  <sheetPr>
    <outlinePr summaryBelow="1" summaryRight="1"/>
    <pageSetUpPr/>
  </sheetPr>
  <dimension ref="A1:G17"/>
  <sheetViews>
    <sheetView showGridLines="0" topLeftCell="A8" workbookViewId="0">
      <selection activeCell="B6" sqref="B6"/>
    </sheetView>
  </sheetViews>
  <sheetFormatPr baseColWidth="8" defaultColWidth="9.14423076923077" defaultRowHeight="16.8"/>
  <cols>
    <col customWidth="1" max="1" min="1" style="2" width="22.8557692307692"/>
    <col customWidth="1" max="2" min="2" style="2" width="30.4230769230769"/>
    <col customWidth="1" max="3" min="3" style="2" width="25.5673076923077"/>
    <col customWidth="1" max="4" min="4" style="2" width="24.1442307692308"/>
    <col customWidth="1" max="5" min="5" style="2" width="30.4230769230769"/>
    <col customWidth="1" max="16384" min="6" style="2" width="9.14423076923077"/>
  </cols>
  <sheetData>
    <row customHeight="1" ht="30" r="1">
      <c r="A1" s="495" t="n"/>
      <c r="B1" s="496" t="inlineStr">
        <is>
          <t>PRODUCT ACCEPTANCE TEST - DUT DESCRIPTION</t>
        </is>
      </c>
      <c r="C1" s="202" t="n"/>
      <c r="D1" s="202" t="n"/>
      <c r="E1" s="383" t="n"/>
    </row>
    <row customHeight="1" ht="30" r="2">
      <c r="A2" s="458" t="n"/>
      <c r="B2" s="497">
        <f>C6&amp;" - "&amp;D6</f>
        <v/>
      </c>
      <c r="C2" s="427" t="n"/>
      <c r="D2" s="427" t="n"/>
      <c r="E2" s="392" t="n"/>
    </row>
    <row customFormat="1" customHeight="1" ht="30" r="3" s="353">
      <c r="A3" s="498" t="inlineStr">
        <is>
          <t>Name of Tester 1:
测试人员1</t>
        </is>
      </c>
      <c r="B3" s="499" t="inlineStr">
        <is>
          <t>Name of Tester 2:
测试人员2</t>
        </is>
      </c>
      <c r="C3" s="500" t="inlineStr">
        <is>
          <t>Test Room Temperature
测试房温度 (゜C )</t>
        </is>
      </c>
      <c r="D3" s="500" t="inlineStr">
        <is>
          <t>Test Room Humidity
测试房湿度( % )</t>
        </is>
      </c>
      <c r="E3" s="520" t="inlineStr">
        <is>
          <t>Test Data:
测试日期</t>
        </is>
      </c>
    </row>
    <row customFormat="1" customHeight="1" ht="24.95" r="4" s="353">
      <c r="A4" s="501" t="n"/>
      <c r="B4" s="502" t="n"/>
      <c r="C4" s="503" t="n"/>
      <c r="D4" s="504" t="n"/>
      <c r="E4" s="521" t="n"/>
    </row>
    <row customFormat="1" customHeight="1" ht="30" r="5" s="45">
      <c r="A5" s="505" t="inlineStr">
        <is>
          <t>DUT Motor
被测电机</t>
        </is>
      </c>
      <c r="B5" s="506" t="inlineStr">
        <is>
          <t>Product Number
产品号码</t>
        </is>
      </c>
      <c r="C5" s="506" t="inlineStr">
        <is>
          <t>Model
型号</t>
        </is>
      </c>
      <c r="D5" s="506" t="inlineStr">
        <is>
          <t>Code
代码</t>
        </is>
      </c>
      <c r="E5" s="522" t="inlineStr">
        <is>
          <t>Motor Comment
电机描述</t>
        </is>
      </c>
    </row>
    <row customFormat="1" customHeight="1" ht="24.95" r="6" s="353">
      <c r="A6" s="398" t="n"/>
      <c r="B6" s="123" t="n"/>
      <c r="C6" s="123" t="n"/>
      <c r="D6" s="449" t="n"/>
      <c r="E6" s="523" t="n"/>
    </row>
    <row customFormat="1" customHeight="1" ht="30" r="7" s="45">
      <c r="A7" s="507" t="inlineStr">
        <is>
          <t>Motor &amp; MCU Configuration
电机和逆变器配置
---------------------------
MCU Resolver Calibration
逆变器旋变标定</t>
        </is>
      </c>
      <c r="B7" s="506" t="inlineStr">
        <is>
          <t>Model
型号</t>
        </is>
      </c>
      <c r="C7" s="506" t="inlineStr">
        <is>
          <t>Serial No.
序列号</t>
        </is>
      </c>
      <c r="D7" s="506" t="inlineStr">
        <is>
          <t>Number of Poles for Motor
电机极对数</t>
        </is>
      </c>
      <c r="E7" s="522" t="inlineStr">
        <is>
          <t>Number of Poles for Resolver
旋变极对数</t>
        </is>
      </c>
    </row>
    <row customFormat="1" customHeight="1" ht="24.95" r="8" s="423">
      <c r="A8" s="397" t="n"/>
      <c r="B8" s="218" t="n"/>
      <c r="C8" s="456" t="n"/>
      <c r="D8" s="448" t="n"/>
      <c r="E8" s="524" t="n"/>
    </row>
    <row customFormat="1" customHeight="1" ht="30" r="9" s="45">
      <c r="A9" s="397" t="n"/>
      <c r="B9" s="499" t="inlineStr">
        <is>
          <t>Phase Cables Connection
相电缆连接</t>
        </is>
      </c>
      <c r="C9" s="499" t="inlineStr">
        <is>
          <t>Motor_Type_Options_EEPROM
电机类型选项EEPROM</t>
        </is>
      </c>
      <c r="D9" s="499" t="inlineStr">
        <is>
          <t>Dyno Speed Command [rpm]
测功机速度</t>
        </is>
      </c>
      <c r="E9" s="520" t="inlineStr">
        <is>
          <t>Dyno Feedback Speed [rpm]
测功机反馈速度</t>
        </is>
      </c>
      <c r="F9" s="423" t="n"/>
    </row>
    <row customFormat="1" customHeight="1" ht="24.95" r="10" s="45">
      <c r="A10" s="397" t="n"/>
      <c r="B10" s="456" t="inlineStr">
        <is>
          <t>Motor U V W to MCU A B C</t>
        </is>
      </c>
      <c r="C10" s="456" t="n">
        <v>50</v>
      </c>
      <c r="D10" s="102" t="n">
        <v>1000</v>
      </c>
      <c r="E10" s="525" t="n">
        <v>-1000</v>
      </c>
      <c r="F10" s="423" t="n"/>
    </row>
    <row customFormat="1" customHeight="1" ht="30" r="11" s="45">
      <c r="A11" s="397" t="n"/>
      <c r="B11" s="499" t="inlineStr">
        <is>
          <t>DUT Feedback Speed [rpm]
被测电机反馈速度</t>
        </is>
      </c>
      <c r="C11" s="499" t="inlineStr">
        <is>
          <t>Voltage Feedback Speed [rpm]
电压反馈转速</t>
        </is>
      </c>
      <c r="D11" s="499" t="inlineStr">
        <is>
          <t>DUT Forward Direction
电机前进方向</t>
        </is>
      </c>
      <c r="E11" s="520" t="inlineStr">
        <is>
          <t>Resolver Offset_X_10 (Electric Angle)
旋变补偿值 ( 电角 )</t>
        </is>
      </c>
      <c r="F11" s="423" t="n"/>
    </row>
    <row customFormat="1" customHeight="1" ht="24.95" r="12" s="45">
      <c r="A12" s="508" t="n"/>
      <c r="B12" s="443" t="n">
        <v>1000</v>
      </c>
      <c r="C12" s="443" t="n">
        <v>1000</v>
      </c>
      <c r="D12" s="443" t="inlineStr">
        <is>
          <t>Clockwise顺时针旋转</t>
        </is>
      </c>
      <c r="E12" s="526" t="n"/>
      <c r="F12" s="423" t="n"/>
    </row>
    <row customFormat="1" customHeight="1" ht="80.09999999999999" r="13" s="45">
      <c r="A13" s="509" t="inlineStr">
        <is>
          <t>1. The purpose of this tab is to describe the general information of the DUT and test rig config
    文件目的是描述被测电机的一般信息和测试设备配置
2. The format of the spreadsheet: "Motor model" - "Motor code" 
    表格的格式:“电机型号”—“电机代码”
3. Resolver Offset_X_10 (Electric Angle) should be between ±3600, even better ±1800
    旋变补偿值需要在±3600之间,最好在±1800</t>
        </is>
      </c>
      <c r="B13" s="28" t="n"/>
      <c r="C13" s="28" t="n"/>
      <c r="D13" s="28" t="n"/>
      <c r="E13" s="29" t="n"/>
      <c r="G13" s="45" t="inlineStr">
        <is>
          <t>s</t>
        </is>
      </c>
    </row>
    <row customFormat="1" customHeight="1" ht="24.95" r="14" s="45">
      <c r="A14" s="510" t="inlineStr">
        <is>
          <t>Version
版本</t>
        </is>
      </c>
      <c r="B14" s="511" t="inlineStr">
        <is>
          <t>Description of Versions / Changes
版本描述 / 更改</t>
        </is>
      </c>
      <c r="C14" s="512" t="n"/>
      <c r="D14" s="513" t="inlineStr">
        <is>
          <t>updated by
更新者</t>
        </is>
      </c>
      <c r="E14" s="527" t="inlineStr">
        <is>
          <t>Data
日期</t>
        </is>
      </c>
    </row>
    <row customFormat="1" customHeight="1" ht="12" r="15" s="45">
      <c r="A15" s="603" t="n">
        <v>0</v>
      </c>
      <c r="B15" s="515" t="inlineStr">
        <is>
          <t>First virsion to release this spreadsheet</t>
        </is>
      </c>
      <c r="C15" s="13" t="n"/>
      <c r="D15" s="516" t="inlineStr">
        <is>
          <t>Leslie Wu</t>
        </is>
      </c>
      <c r="E15" s="528" t="n">
        <v>43087</v>
      </c>
    </row>
    <row customFormat="1" customHeight="1" ht="52.5" r="16" s="45">
      <c r="A16" s="603" t="n">
        <v>1</v>
      </c>
      <c r="B16" s="184" t="inlineStr">
        <is>
          <t>Updated protection cell - release the access to modify test conditions
Updated DUT Description - Resolver calibration
Updated the data source for  PM Parameters Setup calculation
Added test item - work area check
Added "notes" cell to recored note during testing</t>
        </is>
      </c>
      <c r="C16" s="13" t="n"/>
      <c r="D16" s="516" t="inlineStr">
        <is>
          <t>Leslie Wu</t>
        </is>
      </c>
      <c r="E16" s="528" t="n">
        <v>43096</v>
      </c>
    </row>
    <row customFormat="1" customHeight="1" ht="12.75" r="17" s="45">
      <c r="A17" s="604" t="inlineStr">
        <is>
          <t>1.0-1</t>
        </is>
      </c>
      <c r="B17" s="518" t="inlineStr">
        <is>
          <t>Just adjust the format</t>
        </is>
      </c>
      <c r="C17" s="134" t="n"/>
      <c r="D17" s="519" t="inlineStr">
        <is>
          <t>York</t>
        </is>
      </c>
      <c r="E17" s="529" t="n">
        <v>43266</v>
      </c>
    </row>
  </sheetData>
  <mergeCells count="9">
    <mergeCell ref="B1:E1"/>
    <mergeCell ref="B2:E2"/>
    <mergeCell ref="A13:E13"/>
    <mergeCell ref="B15:C15"/>
    <mergeCell ref="B16:C16"/>
    <mergeCell ref="B17:C17"/>
    <mergeCell ref="A1:A2"/>
    <mergeCell ref="A5:A6"/>
    <mergeCell ref="A7:A12"/>
  </mergeCells>
  <dataValidations count="12">
    <dataValidation allowBlank="0" showErrorMessage="1" showInputMessage="1" sqref="A4 B4" type="list">
      <formula1>"Leon, Brant,Charles, Sylvain, Ji Tiegen,Hong Jiliang"</formula1>
    </dataValidation>
    <dataValidation allowBlank="0" showErrorMessage="1" showInputMessage="1" sqref="B6" type="list">
      <formula1>List!$B$2:$B$35</formula1>
    </dataValidation>
    <dataValidation allowBlank="0" showErrorMessage="1" showInputMessage="1" sqref="C6" type="list">
      <formula1>List!$A$2:$A$30</formula1>
    </dataValidation>
    <dataValidation allowBlank="0" showErrorMessage="1" showInputMessage="1" sqref="E6" type="list">
      <formula1>"Front Motor, Rear Motor, Doule Motor"</formula1>
    </dataValidation>
    <dataValidation allowBlank="0" showErrorMessage="1" showInputMessage="1" sqref="B8" type="list">
      <formula1>"RMS PM250DZ,RMS PM150DZR,RMS RM100DX"</formula1>
    </dataValidation>
    <dataValidation allowBlank="0" showErrorMessage="1" showInputMessage="1" sqref="C8" type="list">
      <formula1>"170"</formula1>
    </dataValidation>
    <dataValidation allowBlank="0" showErrorMessage="1" showInputMessage="1" sqref="D8 E8" type="list">
      <formula1>"2,8,10"</formula1>
    </dataValidation>
    <dataValidation allowBlank="0" showErrorMessage="1" showInputMessage="1" sqref="B10" type="list">
      <formula1>"Motor U V W to MCU A B C,Motor U V W to MCU A C B"</formula1>
    </dataValidation>
    <dataValidation allowBlank="0" showErrorMessage="1" showInputMessage="1" sqref="C10" type="list">
      <formula1>"50,34"</formula1>
    </dataValidation>
    <dataValidation allowBlank="0" showErrorMessage="1" showInputMessage="1" sqref="D10 B12:C12" type="list">
      <formula1>"1000"</formula1>
    </dataValidation>
    <dataValidation allowBlank="0" showErrorMessage="1" showInputMessage="1" sqref="E10" type="list">
      <formula1>"-1000"</formula1>
    </dataValidation>
    <dataValidation allowBlank="0" showErrorMessage="1" showInputMessage="1" sqref="D12" type="list">
      <formula1>"Clockwise顺时针旋转,Counter-Clockwise逆时针旋转"</formula1>
    </dataValidation>
  </dataValidations>
  <pageMargins bottom="0.3" footer="0.3" header="0.3" left="0.3" right="0.3" top="0.3"/>
  <pageSetup orientation="landscape"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F10"/>
  <sheetViews>
    <sheetView workbookViewId="0">
      <selection activeCell="J15" sqref="J15"/>
    </sheetView>
  </sheetViews>
  <sheetFormatPr baseColWidth="8" defaultColWidth="9" defaultRowHeight="16.8"/>
  <cols>
    <col customWidth="1" max="3" min="3" width="7.28846153846154"/>
    <col customWidth="1" max="4" min="4" width="20.4230769230769"/>
    <col customWidth="1" max="6" min="6" width="20.4230769230769"/>
  </cols>
  <sheetData>
    <row customHeight="1" ht="17.55" r="1"/>
    <row r="2">
      <c r="A2" s="483" t="inlineStr">
        <is>
          <t>Pt100 Check Before PAT Test</t>
        </is>
      </c>
      <c r="B2" s="88" t="n"/>
      <c r="C2" s="88" t="n"/>
      <c r="D2" s="88" t="n"/>
      <c r="E2" s="88" t="n"/>
      <c r="F2" s="491" t="n"/>
    </row>
    <row r="3">
      <c r="A3" s="484" t="inlineStr">
        <is>
          <t>Motor Winding Temp.</t>
        </is>
      </c>
      <c r="B3" s="13" t="n"/>
      <c r="C3" s="485" t="inlineStr">
        <is>
          <t>Pin1&amp;2</t>
        </is>
      </c>
      <c r="D3" s="485" t="inlineStr">
        <is>
          <t>PIN 2 &amp; Spare red line</t>
        </is>
      </c>
      <c r="E3" s="485" t="inlineStr">
        <is>
          <t>Pin 3&amp;4</t>
        </is>
      </c>
      <c r="F3" s="492" t="inlineStr">
        <is>
          <t>PIN 3 &amp; Spare red line</t>
        </is>
      </c>
    </row>
    <row customHeight="1" ht="20" r="4">
      <c r="A4" s="486" t="inlineStr">
        <is>
          <t>RPT100</t>
        </is>
      </c>
      <c r="B4" s="63" t="inlineStr">
        <is>
          <t>[Ω]</t>
        </is>
      </c>
      <c r="C4" s="120" t="n"/>
      <c r="D4" s="120" t="inlineStr">
        <is>
          <t>-</t>
        </is>
      </c>
      <c r="E4" s="120" t="n"/>
      <c r="F4" s="493" t="inlineStr">
        <is>
          <t>-</t>
        </is>
      </c>
    </row>
    <row customHeight="1" ht="20" r="5">
      <c r="A5" s="486" t="inlineStr">
        <is>
          <t>TPT100</t>
        </is>
      </c>
      <c r="B5" s="63" t="inlineStr">
        <is>
          <t>[°C]</t>
        </is>
      </c>
      <c r="C5" s="590">
        <f>IF(C4="","",2.597114*C4-259.528294)</f>
        <v/>
      </c>
      <c r="D5" s="120" t="inlineStr">
        <is>
          <t>-</t>
        </is>
      </c>
      <c r="E5" s="590">
        <f>IF(E4="","",2.597114*E4-259.528294)</f>
        <v/>
      </c>
      <c r="F5" s="493" t="inlineStr">
        <is>
          <t>-</t>
        </is>
      </c>
    </row>
    <row customHeight="1" ht="17.55" r="6">
      <c r="A6" s="488" t="inlineStr">
        <is>
          <t>Read From SW</t>
        </is>
      </c>
      <c r="B6" s="134" t="n"/>
      <c r="C6" s="489" t="n"/>
      <c r="D6" s="490" t="inlineStr">
        <is>
          <t>-</t>
        </is>
      </c>
      <c r="E6" s="489" t="n"/>
      <c r="F6" s="494" t="inlineStr">
        <is>
          <t>-</t>
        </is>
      </c>
    </row>
    <row r="10">
      <c r="A10" s="162" t="inlineStr">
        <is>
          <t>Hipot test Summary</t>
        </is>
      </c>
      <c r="B10" s="36" t="n"/>
      <c r="C10" s="36" t="n"/>
      <c r="D10" s="36" t="n"/>
      <c r="E10" s="36" t="n"/>
      <c r="F10" s="13" t="n"/>
    </row>
  </sheetData>
  <mergeCells count="4">
    <mergeCell ref="A2:F2"/>
    <mergeCell ref="A3:B3"/>
    <mergeCell ref="A6:B6"/>
    <mergeCell ref="A10:F10"/>
  </mergeCells>
  <pageMargins bottom="0.75" footer="0.3" header="0.3" left="0.699305555555556" right="0.699305555555556" top="0.75"/>
</worksheet>
</file>

<file path=xl/worksheets/sheet5.xml><?xml version="1.0" encoding="utf-8"?>
<worksheet xmlns="http://schemas.openxmlformats.org/spreadsheetml/2006/main">
  <sheetPr>
    <outlinePr summaryBelow="1" summaryRight="1"/>
    <pageSetUpPr/>
  </sheetPr>
  <dimension ref="A1:N15"/>
  <sheetViews>
    <sheetView workbookViewId="0">
      <selection activeCell="A12" sqref="A12:M12"/>
    </sheetView>
  </sheetViews>
  <sheetFormatPr baseColWidth="8" defaultColWidth="9" defaultRowHeight="16.8"/>
  <cols>
    <col customWidth="1" max="1" min="1" width="10.2884615384615"/>
    <col customWidth="1" max="2" min="2" width="12.5673076923077"/>
    <col customWidth="1" max="12" min="3" width="10.5673076923077"/>
    <col customWidth="1" max="13" min="13" width="8.85576923076923"/>
  </cols>
  <sheetData>
    <row customFormat="1" customHeight="1" ht="30" r="1" s="2">
      <c r="A1" s="355" t="n"/>
      <c r="B1" s="356" t="n"/>
      <c r="C1" s="357" t="inlineStr">
        <is>
          <t>PRODUCT ACCEPTANCE TEST - IR MEASURE</t>
        </is>
      </c>
      <c r="D1" s="202" t="n"/>
      <c r="E1" s="202" t="n"/>
      <c r="F1" s="202" t="n"/>
      <c r="G1" s="202" t="n"/>
      <c r="H1" s="202" t="n"/>
      <c r="I1" s="202" t="n"/>
      <c r="J1" s="202" t="n"/>
      <c r="K1" s="202" t="n"/>
      <c r="L1" s="202" t="n"/>
      <c r="M1" s="383" t="n"/>
    </row>
    <row customFormat="1" customHeight="1" ht="30" r="2" s="2">
      <c r="A2" s="203" t="n"/>
      <c r="B2" s="29" t="n"/>
      <c r="C2" s="358">
        <f>'DUT Description'!C6&amp;" - "&amp;'DUT Description'!D6</f>
        <v/>
      </c>
      <c r="D2" s="28" t="n"/>
      <c r="E2" s="28" t="n"/>
      <c r="F2" s="28" t="n"/>
      <c r="G2" s="28" t="n"/>
      <c r="H2" s="28" t="n"/>
      <c r="I2" s="28" t="n"/>
      <c r="J2" s="28" t="n"/>
      <c r="K2" s="28" t="n"/>
      <c r="L2" s="28" t="n"/>
      <c r="M2" s="384" t="n"/>
    </row>
    <row customFormat="1" customHeight="1" ht="30" r="3" s="266">
      <c r="A3" s="460" t="inlineStr">
        <is>
          <t>Statue
位置</t>
        </is>
      </c>
      <c r="B3" s="461" t="inlineStr">
        <is>
          <t>Voltage Range
电压量程</t>
        </is>
      </c>
      <c r="C3" s="462" t="inlineStr">
        <is>
          <t>R15 sec
电阻</t>
        </is>
      </c>
      <c r="D3" s="461" t="inlineStr">
        <is>
          <t>R60 sec
电阻</t>
        </is>
      </c>
      <c r="E3" s="461" t="inlineStr">
        <is>
          <t>DAR
吸收比</t>
        </is>
      </c>
      <c r="F3" s="461" t="inlineStr">
        <is>
          <t>Tmeasurement
温度测量</t>
        </is>
      </c>
      <c r="G3" s="462" t="inlineStr">
        <is>
          <t>R15 sec 40°C
电阻</t>
        </is>
      </c>
      <c r="H3" s="461" t="inlineStr">
        <is>
          <t>R60 sec 40°C
电阻</t>
        </is>
      </c>
      <c r="I3" s="461" t="inlineStr">
        <is>
          <t>RTD1
电阻1</t>
        </is>
      </c>
      <c r="J3" s="461" t="inlineStr">
        <is>
          <t>RTD2
电阻2</t>
        </is>
      </c>
      <c r="K3" s="461" t="inlineStr">
        <is>
          <t>RT
室温</t>
        </is>
      </c>
      <c r="L3" s="461" t="inlineStr">
        <is>
          <t>RH
湿度</t>
        </is>
      </c>
      <c r="M3" s="479" t="inlineStr">
        <is>
          <t>Tester 1
测试人员</t>
        </is>
      </c>
    </row>
    <row customFormat="1" r="4" s="266">
      <c r="A4" s="398" t="n"/>
      <c r="B4" s="463" t="inlineStr">
        <is>
          <t>V</t>
        </is>
      </c>
      <c r="C4" s="463" t="inlineStr">
        <is>
          <t>[GΩ]</t>
        </is>
      </c>
      <c r="D4" s="463" t="inlineStr">
        <is>
          <t>[GΩ]</t>
        </is>
      </c>
      <c r="E4" s="463" t="inlineStr">
        <is>
          <t>[ ]</t>
        </is>
      </c>
      <c r="F4" s="463" t="inlineStr">
        <is>
          <t>[°C]</t>
        </is>
      </c>
      <c r="G4" s="463" t="inlineStr">
        <is>
          <t>[GΩ]</t>
        </is>
      </c>
      <c r="H4" s="463" t="inlineStr">
        <is>
          <t>[GΩ]</t>
        </is>
      </c>
      <c r="I4" s="463" t="inlineStr">
        <is>
          <t>[Ω]</t>
        </is>
      </c>
      <c r="J4" s="463" t="inlineStr">
        <is>
          <t>[Ω]</t>
        </is>
      </c>
      <c r="K4" s="463" t="inlineStr">
        <is>
          <t>[°C]</t>
        </is>
      </c>
      <c r="L4" s="463" t="inlineStr">
        <is>
          <t>[%]</t>
        </is>
      </c>
      <c r="M4" s="480" t="n"/>
    </row>
    <row customHeight="1" ht="30" r="5">
      <c r="A5" s="460" t="inlineStr">
        <is>
          <t>Front  stator
前定子</t>
        </is>
      </c>
      <c r="B5" s="464" t="n">
        <v>1000</v>
      </c>
      <c r="C5" s="465" t="n"/>
      <c r="D5" s="465" t="n"/>
      <c r="E5" s="473" t="n"/>
      <c r="F5" s="605" t="n"/>
      <c r="G5" s="605" t="n"/>
      <c r="H5" s="605" t="n"/>
      <c r="I5" s="465" t="n"/>
      <c r="J5" s="465" t="n"/>
      <c r="K5" s="466" t="n"/>
      <c r="L5" s="465" t="n"/>
      <c r="M5" s="481" t="n"/>
    </row>
    <row customHeight="1" ht="30" r="6">
      <c r="A6" s="460" t="inlineStr">
        <is>
          <t>Rear stator
后定子</t>
        </is>
      </c>
      <c r="B6" s="464" t="n">
        <v>1000</v>
      </c>
      <c r="C6" s="465" t="n"/>
      <c r="D6" s="465" t="n"/>
      <c r="E6" s="473" t="n"/>
      <c r="F6" s="605" t="n"/>
      <c r="G6" s="605" t="n"/>
      <c r="H6" s="605" t="n"/>
      <c r="I6" s="465" t="n"/>
      <c r="J6" s="465" t="n"/>
      <c r="K6" s="466" t="n"/>
      <c r="L6" s="465" t="n"/>
      <c r="M6" s="481" t="n"/>
    </row>
    <row customHeight="1" ht="30" r="7">
      <c r="A7" s="460" t="inlineStr">
        <is>
          <t>Motor
电机</t>
        </is>
      </c>
      <c r="B7" s="464" t="n">
        <v>1000</v>
      </c>
      <c r="C7" s="466" t="n"/>
      <c r="D7" s="465" t="n"/>
      <c r="E7" s="475">
        <f>IF(D7="",NA(),D7/C7)</f>
        <v/>
      </c>
      <c r="F7" s="606" t="n">
        <v>26</v>
      </c>
      <c r="G7" s="475">
        <f>IF(C7="",NA(),C7*0.5^((40-F7)/10))</f>
        <v/>
      </c>
      <c r="H7" s="475">
        <f>IF(D7="",NA(),D7*0.5^((40-F7)/10))</f>
        <v/>
      </c>
      <c r="I7" s="466" t="n"/>
      <c r="J7" s="466" t="n"/>
      <c r="K7" s="466" t="n"/>
      <c r="L7" s="466" t="n"/>
      <c r="M7" s="481" t="n"/>
    </row>
    <row customHeight="1" ht="9.949999999999999" r="8">
      <c r="A8" s="467" t="n"/>
      <c r="B8" s="36" t="n"/>
      <c r="C8" s="36" t="n"/>
      <c r="D8" s="36" t="n"/>
      <c r="E8" s="36" t="n"/>
      <c r="F8" s="36" t="n"/>
      <c r="G8" s="36" t="n"/>
      <c r="H8" s="36" t="n"/>
      <c r="I8" s="36" t="n"/>
      <c r="J8" s="36" t="n"/>
      <c r="K8" s="36" t="n"/>
      <c r="L8" s="36" t="n"/>
      <c r="M8" s="242" t="n"/>
    </row>
    <row customHeight="1" ht="30" r="9">
      <c r="A9" s="468" t="inlineStr">
        <is>
          <t>Winding Resistance
绕组阻值 ( mohm )</t>
        </is>
      </c>
      <c r="B9" s="36" t="n"/>
      <c r="C9" s="36" t="n"/>
      <c r="D9" s="36" t="n"/>
      <c r="E9" s="36" t="n"/>
      <c r="F9" s="36" t="n"/>
      <c r="G9" s="36" t="n"/>
      <c r="H9" s="13" t="n"/>
      <c r="I9" s="478" t="inlineStr">
        <is>
          <t>Insulation Resistance &amp; DAR
绝缘电阻&amp;吸收比 ( Gohm )</t>
        </is>
      </c>
      <c r="J9" s="36" t="n"/>
      <c r="K9" s="13" t="n"/>
      <c r="L9" s="478" t="inlineStr">
        <is>
          <t>HIPOT DC
直流高压 ( GOhm )</t>
        </is>
      </c>
      <c r="M9" s="13" t="n"/>
    </row>
    <row customHeight="1" ht="30" r="10">
      <c r="A10" s="469" t="inlineStr">
        <is>
          <t>Winding phase 1-2
1-2相</t>
        </is>
      </c>
      <c r="B10" s="13" t="n"/>
      <c r="C10" s="470" t="inlineStr">
        <is>
          <t>Winding phase 2-3
2-3相</t>
        </is>
      </c>
      <c r="D10" s="36" t="n"/>
      <c r="E10" s="13" t="n"/>
      <c r="F10" s="477" t="inlineStr">
        <is>
          <t>Winding phase 3-1
3-1相</t>
        </is>
      </c>
      <c r="G10" s="36" t="n"/>
      <c r="H10" s="13" t="n"/>
      <c r="I10" s="463" t="inlineStr">
        <is>
          <t>1005V</t>
        </is>
      </c>
      <c r="J10" s="36" t="n"/>
      <c r="K10" s="13" t="n"/>
      <c r="L10" s="461" t="inlineStr">
        <is>
          <t>3005V</t>
        </is>
      </c>
      <c r="M10" s="13" t="n"/>
    </row>
    <row customFormat="1" customHeight="1" ht="24.95" r="11" s="459">
      <c r="A11" s="471" t="n"/>
      <c r="B11" s="13" t="n"/>
      <c r="C11" s="466" t="n"/>
      <c r="D11" s="36" t="n"/>
      <c r="E11" s="13" t="n"/>
      <c r="F11" s="465" t="n"/>
      <c r="G11" s="36" t="n"/>
      <c r="H11" s="13" t="n"/>
      <c r="I11" s="465" t="n"/>
      <c r="J11" s="36" t="n"/>
      <c r="K11" s="13" t="n"/>
      <c r="L11" s="465" t="n"/>
      <c r="M11" s="13" t="n"/>
    </row>
    <row customHeight="1" ht="67.5" r="12">
      <c r="A12" s="472" t="inlineStr">
        <is>
          <t>DAR (吸收比)： 
在同一次试验中，60s时的绝缘电阻值与15s时的绝缘电阻值之比。
目的: 为了发现绝缘受潮。除反映绝缘受潮情况外，还能反映整体和局部缺陷。 
变压器大修后在进行的电气试验项目之一就是测量绕组的绝缘电阻和吸收比。 
《国家电网山东电力集团公司2007版电力设备交接和预防性试验规程》对吸收比有如下规定：吸收比在常温下不低于1.3；当R60s(60秒时的电阻)大于3000MΩ时，吸收比可不做考核要求。</t>
        </is>
      </c>
      <c r="B12" s="96" t="n"/>
      <c r="C12" s="96" t="n"/>
      <c r="D12" s="96" t="n"/>
      <c r="E12" s="96" t="n"/>
      <c r="F12" s="96" t="n"/>
      <c r="G12" s="96" t="n"/>
      <c r="H12" s="96" t="n"/>
      <c r="I12" s="96" t="n"/>
      <c r="J12" s="96" t="n"/>
      <c r="K12" s="96" t="n"/>
      <c r="L12" s="96" t="n"/>
      <c r="M12" s="134" t="n"/>
      <c r="N12" s="482" t="n"/>
    </row>
    <row customHeight="1" ht="30" r="13">
      <c r="A13" s="53" t="n"/>
      <c r="B13" s="54" t="inlineStr">
        <is>
          <t>Automatic calculate
自动计算</t>
        </is>
      </c>
    </row>
    <row r="15">
      <c r="C15" s="459" t="n"/>
    </row>
  </sheetData>
  <mergeCells count="21">
    <mergeCell ref="C1:M1"/>
    <mergeCell ref="C2:M2"/>
    <mergeCell ref="A8:M8"/>
    <mergeCell ref="A9:H9"/>
    <mergeCell ref="I9:K9"/>
    <mergeCell ref="L9:M9"/>
    <mergeCell ref="A10:B10"/>
    <mergeCell ref="C10:E10"/>
    <mergeCell ref="F10:H10"/>
    <mergeCell ref="I10:K10"/>
    <mergeCell ref="L10:M10"/>
    <mergeCell ref="A11:B11"/>
    <mergeCell ref="C11:E11"/>
    <mergeCell ref="F11:H11"/>
    <mergeCell ref="I11:K11"/>
    <mergeCell ref="L11:M11"/>
    <mergeCell ref="A12:M12"/>
    <mergeCell ref="B13:D13"/>
    <mergeCell ref="A3:A4"/>
    <mergeCell ref="M3:M4"/>
    <mergeCell ref="A1:B2"/>
  </mergeCells>
  <dataValidations count="1">
    <dataValidation allowBlank="0" showErrorMessage="1" showInputMessage="1" sqref="M5:M7" type="list">
      <formula1>"Leon, Brant,Charles, Sylvain, Ji Tiegen"</formula1>
    </dataValidation>
  </dataValidations>
  <pageMargins bottom="0.3" footer="0.3" header="0.3" left="0.3" right="0.3" top="0.3"/>
  <pageSetup orientation="landscape" paperSize="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3"/>
  <sheetViews>
    <sheetView showGridLines="0" topLeftCell="A16" workbookViewId="0" zoomScale="90" zoomScaleNormal="90">
      <selection activeCell="J15" sqref="J15"/>
    </sheetView>
  </sheetViews>
  <sheetFormatPr baseColWidth="8" defaultColWidth="9.14423076923077" defaultRowHeight="12"/>
  <cols>
    <col customWidth="1" max="1" min="1" style="45" width="8.56730769230769"/>
    <col customWidth="1" max="2" min="2" style="45" width="4.56730769230769"/>
    <col customWidth="1" max="3" min="3" style="45" width="11"/>
    <col customWidth="1" max="4" min="4" style="45" width="26.5673076923077"/>
    <col customWidth="1" max="5" min="5" style="45" width="21.8557692307692"/>
    <col customWidth="1" max="6" min="6" style="45" width="17.1442307692308"/>
    <col customWidth="1" max="7" min="7" style="45" width="28.4230769230769"/>
    <col customWidth="1" max="8" min="8" style="45" width="22.2884615384615"/>
    <col customWidth="1" max="16384" min="9" style="45" width="9.14423076923077"/>
  </cols>
  <sheetData>
    <row customHeight="1" ht="30" r="1">
      <c r="A1" s="425" t="n"/>
      <c r="B1" s="202" t="n"/>
      <c r="C1" s="356" t="n"/>
      <c r="D1" s="357" t="inlineStr">
        <is>
          <t>PRODUCT ACCEPTANCE TEST - CIRCUITING I &amp; DRAG N.M</t>
        </is>
      </c>
      <c r="E1" s="202" t="n"/>
      <c r="F1" s="202" t="n"/>
      <c r="G1" s="202" t="n"/>
      <c r="H1" s="383" t="n"/>
    </row>
    <row customHeight="1" ht="30" r="2">
      <c r="A2" s="426" t="n"/>
      <c r="B2" s="427" t="n"/>
      <c r="C2" s="428" t="n"/>
      <c r="D2" s="429">
        <f>'DUT Description'!C6&amp;" - "&amp;'DUT Description'!D6</f>
        <v/>
      </c>
      <c r="E2" s="427" t="n"/>
      <c r="F2" s="427" t="n"/>
      <c r="G2" s="427" t="n"/>
      <c r="H2" s="392" t="n"/>
    </row>
    <row customHeight="1" ht="30" r="3">
      <c r="A3" s="430" t="inlineStr">
        <is>
          <t>Item 1. BEMF Measurement
反电动势测量</t>
        </is>
      </c>
      <c r="B3" s="431" t="inlineStr">
        <is>
          <t>Step
步骤</t>
        </is>
      </c>
      <c r="C3" s="431" t="inlineStr">
        <is>
          <t>Motor Speed
电机速度</t>
        </is>
      </c>
      <c r="D3" s="431" t="inlineStr">
        <is>
          <t>Front Stator BEMF Voltage
前定子反电动势电压</t>
        </is>
      </c>
      <c r="E3" s="431" t="inlineStr">
        <is>
          <t>Rear Stator BEMF Voltage
后定子反电动势电压</t>
        </is>
      </c>
      <c r="F3" s="431" t="inlineStr">
        <is>
          <t>Voltage Diff.
电压差</t>
        </is>
      </c>
      <c r="G3" s="444" t="inlineStr">
        <is>
          <t>Time Diff. @Zero Cross Point
反电动势零点漂移</t>
        </is>
      </c>
      <c r="H3" s="445" t="inlineStr">
        <is>
          <t>Notes:
Test 1 Propose
1. The purpose of this test is to make sure the BEMF ( Back Electromotive Force ) of both stators are within the target limits. In both amplitude and phase.      此测试程序的目的是要确保反电动势(电动势)两个绕组匝在目标范围之内。在这两个振幅和相位。
2. If not, corrective action should be taken.      如果没有,应采取纠正措施。
3. To correct amplitude, airgap must be adjusted.
调节气息到正确的幅值
4. To correct phase, stator angle must be adjusted.
调节定子角度到正确的相位</t>
        </is>
      </c>
    </row>
    <row customHeight="1" ht="20.1" r="4">
      <c r="A4" s="397" t="n"/>
      <c r="B4" s="30" t="n"/>
      <c r="C4" s="276" t="inlineStr">
        <is>
          <t>[rpm]</t>
        </is>
      </c>
      <c r="D4" s="276" t="inlineStr">
        <is>
          <t>[Vrms_peak_peak]</t>
        </is>
      </c>
      <c r="E4" s="276" t="inlineStr">
        <is>
          <t>[Vrms_peak_peak]</t>
        </is>
      </c>
      <c r="F4" s="276" t="inlineStr">
        <is>
          <t>[Vrms]</t>
        </is>
      </c>
      <c r="G4" s="446" t="inlineStr">
        <is>
          <t>[us]</t>
        </is>
      </c>
      <c r="H4" s="447" t="n"/>
    </row>
    <row customHeight="1" ht="20.1" r="5">
      <c r="A5" s="397" t="n"/>
      <c r="B5" s="432" t="n">
        <v>1</v>
      </c>
      <c r="C5" s="433" t="n">
        <v>1000</v>
      </c>
      <c r="D5" s="126" t="n"/>
      <c r="E5" s="126" t="n"/>
      <c r="F5" s="137">
        <f>ABS(D5-E5)</f>
        <v/>
      </c>
      <c r="G5" s="448" t="n"/>
      <c r="H5" s="447" t="n"/>
    </row>
    <row customHeight="1" ht="20.1" r="6">
      <c r="A6" s="397" t="n"/>
      <c r="B6" s="432" t="n">
        <v>2</v>
      </c>
      <c r="C6" s="433" t="n">
        <v>1000</v>
      </c>
      <c r="D6" s="126" t="n"/>
      <c r="E6" s="126" t="n"/>
      <c r="F6" s="137">
        <f>ABS(D6-E6)</f>
        <v/>
      </c>
      <c r="G6" s="448" t="n"/>
      <c r="H6" s="447" t="n"/>
    </row>
    <row customHeight="1" ht="20.1" r="7">
      <c r="A7" s="397" t="n"/>
      <c r="B7" s="432" t="n">
        <v>3</v>
      </c>
      <c r="C7" s="433" t="n">
        <v>1000</v>
      </c>
      <c r="D7" s="126" t="n"/>
      <c r="E7" s="126" t="n"/>
      <c r="F7" s="137">
        <f>ABS(D7-E7)</f>
        <v/>
      </c>
      <c r="G7" s="448" t="n"/>
      <c r="H7" s="447" t="n"/>
    </row>
    <row customHeight="1" ht="20.1" r="8">
      <c r="A8" s="398" t="n"/>
      <c r="B8" s="434" t="n">
        <v>4</v>
      </c>
      <c r="C8" s="435" t="n">
        <v>1000</v>
      </c>
      <c r="D8" s="436" t="n"/>
      <c r="E8" s="436" t="n"/>
      <c r="F8" s="376">
        <f>ABS(D8-E8)</f>
        <v/>
      </c>
      <c r="G8" s="449" t="n"/>
      <c r="H8" s="447" t="n"/>
    </row>
    <row customHeight="1" ht="9.949999999999999" r="9">
      <c r="A9" s="437" t="n"/>
      <c r="B9" s="438" t="n"/>
      <c r="C9" s="438" t="n"/>
      <c r="D9" s="439" t="n"/>
      <c r="E9" s="439" t="n"/>
      <c r="F9" s="450" t="n"/>
      <c r="G9" s="451" t="n"/>
      <c r="H9" s="447" t="n"/>
    </row>
    <row customHeight="1" ht="30" r="10">
      <c r="A10" s="430" t="inlineStr">
        <is>
          <t>Item 2. Recirculating Currents Measurement
 环流测量</t>
        </is>
      </c>
      <c r="B10" s="431" t="inlineStr">
        <is>
          <t>Step
步骤</t>
        </is>
      </c>
      <c r="C10" s="431" t="inlineStr">
        <is>
          <t>Motor Speed
电机速度</t>
        </is>
      </c>
      <c r="D10" s="431" t="inlineStr">
        <is>
          <t>Current Sensor Output Voltage
电流传感器输出电压</t>
        </is>
      </c>
      <c r="E10" s="431" t="inlineStr">
        <is>
          <t>Circulating Current
环流</t>
        </is>
      </c>
      <c r="F10" s="444" t="inlineStr">
        <is>
          <t>Max. Motor Temp.
电机最高温度</t>
        </is>
      </c>
      <c r="G10" s="452" t="inlineStr">
        <is>
          <t>Notes:
Test 2 Propose
1.After correct airgap / stators angle circulating currents need to be checked to make sure the measurement is within the target limits.
检查正确后的气隙 / 定子角度循环电流以确保测量是在目标范围内。
2. If limits are exceeded, re-adjustment needs to be made.
如果超出限制,需要再次调整</t>
        </is>
      </c>
      <c r="H10" s="447" t="n"/>
    </row>
    <row customHeight="1" ht="20.1" r="11">
      <c r="A11" s="397" t="n"/>
      <c r="B11" s="30" t="n"/>
      <c r="C11" s="276" t="inlineStr">
        <is>
          <t>[rpm]</t>
        </is>
      </c>
      <c r="D11" s="276" t="inlineStr">
        <is>
          <t>[mV_peak_peak]</t>
        </is>
      </c>
      <c r="E11" s="276" t="inlineStr">
        <is>
          <t>[Arms]</t>
        </is>
      </c>
      <c r="F11" s="446" t="inlineStr">
        <is>
          <t>[℃]</t>
        </is>
      </c>
      <c r="G11" s="453" t="n"/>
      <c r="H11" s="447" t="n"/>
    </row>
    <row customHeight="1" ht="20.1" r="12">
      <c r="A12" s="397" t="n"/>
      <c r="B12" s="432" t="n">
        <v>1</v>
      </c>
      <c r="C12" s="440" t="n">
        <v>1000</v>
      </c>
      <c r="D12" s="126" t="n"/>
      <c r="E12" s="137">
        <f>D12/5/2/SQRT(2)</f>
        <v/>
      </c>
      <c r="F12" s="448" t="n"/>
      <c r="G12" s="453" t="n"/>
      <c r="H12" s="447" t="n"/>
    </row>
    <row customHeight="1" ht="20.1" r="13">
      <c r="A13" s="397" t="n"/>
      <c r="B13" s="432" t="n">
        <v>2</v>
      </c>
      <c r="C13" s="440" t="n">
        <v>2000</v>
      </c>
      <c r="D13" s="126" t="n"/>
      <c r="E13" s="137">
        <f>D13/5/2/SQRT(2)</f>
        <v/>
      </c>
      <c r="F13" s="448" t="n"/>
      <c r="G13" s="453" t="n"/>
      <c r="H13" s="447" t="n"/>
    </row>
    <row customHeight="1" ht="20.1" r="14">
      <c r="A14" s="397" t="n"/>
      <c r="B14" s="432" t="n">
        <v>3</v>
      </c>
      <c r="C14" s="440" t="n">
        <v>3000</v>
      </c>
      <c r="D14" s="126" t="n"/>
      <c r="E14" s="137">
        <f>D14/5/2/SQRT(2)</f>
        <v/>
      </c>
      <c r="F14" s="448" t="n"/>
      <c r="G14" s="453" t="n"/>
      <c r="H14" s="447" t="n"/>
    </row>
    <row customHeight="1" ht="20.1" r="15">
      <c r="A15" s="398" t="n"/>
      <c r="B15" s="434" t="n">
        <v>4</v>
      </c>
      <c r="C15" s="441" t="n">
        <v>4000</v>
      </c>
      <c r="D15" s="436" t="n"/>
      <c r="E15" s="376">
        <f>D15/5/2/SQRT(2)</f>
        <v/>
      </c>
      <c r="F15" s="449" t="n"/>
      <c r="G15" s="453" t="n"/>
      <c r="H15" s="447" t="n"/>
    </row>
    <row customHeight="1" ht="9.949999999999999" r="16">
      <c r="A16" s="437" t="n"/>
      <c r="B16" s="438" t="n"/>
      <c r="C16" s="442" t="n"/>
      <c r="D16" s="439" t="n"/>
      <c r="E16" s="450" t="n"/>
      <c r="F16" s="451" t="n"/>
      <c r="G16" s="453" t="n"/>
      <c r="H16" s="447" t="n"/>
    </row>
    <row customHeight="1" ht="30" r="17">
      <c r="A17" s="430" t="inlineStr">
        <is>
          <t>Item 3. No Load Torque Measurement
空载扭矩测量</t>
        </is>
      </c>
      <c r="B17" s="431" t="inlineStr">
        <is>
          <t>Step
步骤</t>
        </is>
      </c>
      <c r="C17" s="431" t="inlineStr">
        <is>
          <t>Speed
速度</t>
        </is>
      </c>
      <c r="D17" s="431" t="inlineStr">
        <is>
          <t>Torque Average
平均转矩</t>
        </is>
      </c>
      <c r="E17" s="444" t="inlineStr">
        <is>
          <t>Torque Peak
峰值扭矩</t>
        </is>
      </c>
      <c r="F17" s="445" t="inlineStr">
        <is>
          <t>Notes:
Test 3 Propose
1. The puepose of this test is to measure the no load power loss at different speed
这个测试的目的是测量不同转速下的空载功率损耗</t>
        </is>
      </c>
      <c r="G17" s="453" t="n"/>
      <c r="H17" s="447" t="n"/>
    </row>
    <row customHeight="1" ht="20.1" r="18">
      <c r="A18" s="397" t="n"/>
      <c r="B18" s="30" t="n"/>
      <c r="C18" s="276" t="inlineStr">
        <is>
          <t>[rpm]</t>
        </is>
      </c>
      <c r="D18" s="276" t="inlineStr">
        <is>
          <t>[Nm]</t>
        </is>
      </c>
      <c r="E18" s="446" t="inlineStr">
        <is>
          <t>[Nm]</t>
        </is>
      </c>
      <c r="F18" s="447" t="n"/>
      <c r="G18" s="453" t="n"/>
      <c r="H18" s="447" t="n"/>
    </row>
    <row customHeight="1" ht="20.1" r="19">
      <c r="A19" s="397" t="n"/>
      <c r="B19" s="432" t="n">
        <v>1</v>
      </c>
      <c r="C19" s="433" t="n">
        <v>50</v>
      </c>
      <c r="D19" s="64" t="n"/>
      <c r="E19" s="448" t="n"/>
      <c r="F19" s="447" t="n"/>
      <c r="G19" s="453" t="n"/>
      <c r="H19" s="447" t="n"/>
    </row>
    <row customHeight="1" ht="20.1" r="20">
      <c r="A20" s="397" t="n"/>
      <c r="B20" s="432" t="n">
        <v>2</v>
      </c>
      <c r="C20" s="433" t="n">
        <v>100</v>
      </c>
      <c r="D20" s="64" t="n"/>
      <c r="E20" s="448" t="n"/>
      <c r="F20" s="447" t="n"/>
      <c r="G20" s="453" t="n"/>
      <c r="H20" s="447" t="n"/>
    </row>
    <row customHeight="1" ht="20.1" r="21">
      <c r="A21" s="397" t="n"/>
      <c r="B21" s="432" t="n">
        <v>3</v>
      </c>
      <c r="C21" s="433" t="n">
        <v>250</v>
      </c>
      <c r="D21" s="64" t="n"/>
      <c r="E21" s="448" t="n"/>
      <c r="F21" s="447" t="n"/>
      <c r="G21" s="453" t="n"/>
      <c r="H21" s="447" t="n"/>
    </row>
    <row customHeight="1" ht="20.1" r="22">
      <c r="A22" s="397" t="n"/>
      <c r="B22" s="432" t="n">
        <v>4</v>
      </c>
      <c r="C22" s="433" t="n">
        <v>750</v>
      </c>
      <c r="D22" s="64" t="n"/>
      <c r="E22" s="448" t="n"/>
      <c r="F22" s="447" t="n"/>
      <c r="G22" s="453" t="n"/>
      <c r="H22" s="447" t="n"/>
    </row>
    <row customHeight="1" ht="20.1" r="23">
      <c r="A23" s="397" t="n"/>
      <c r="B23" s="432" t="n">
        <v>5</v>
      </c>
      <c r="C23" s="433" t="n">
        <v>1000</v>
      </c>
      <c r="D23" s="64" t="n"/>
      <c r="E23" s="448" t="n"/>
      <c r="F23" s="447" t="n"/>
      <c r="G23" s="453" t="n"/>
      <c r="H23" s="447" t="n"/>
    </row>
    <row customHeight="1" ht="20.1" r="24">
      <c r="A24" s="397" t="n"/>
      <c r="B24" s="432" t="n">
        <v>6</v>
      </c>
      <c r="C24" s="433" t="n">
        <v>2000</v>
      </c>
      <c r="D24" s="64" t="n"/>
      <c r="E24" s="454" t="n"/>
      <c r="F24" s="447" t="n"/>
      <c r="G24" s="453" t="n"/>
      <c r="H24" s="447" t="n"/>
    </row>
    <row customHeight="1" ht="20.1" r="25">
      <c r="A25" s="397" t="n"/>
      <c r="B25" s="432" t="n">
        <v>7</v>
      </c>
      <c r="C25" s="433" t="n">
        <v>3000</v>
      </c>
      <c r="D25" s="64" t="n"/>
      <c r="E25" s="607" t="n"/>
      <c r="F25" s="447" t="n"/>
      <c r="G25" s="453" t="n"/>
      <c r="H25" s="447" t="n"/>
    </row>
    <row customHeight="1" ht="20.1" r="26">
      <c r="A26" s="397" t="n"/>
      <c r="B26" s="432" t="n">
        <v>8</v>
      </c>
      <c r="C26" s="433" t="n">
        <v>4000</v>
      </c>
      <c r="D26" s="64" t="n"/>
      <c r="E26" s="448" t="n"/>
      <c r="F26" s="447" t="n"/>
      <c r="G26" s="453" t="n"/>
      <c r="H26" s="447" t="n"/>
    </row>
    <row customHeight="1" ht="20.1" r="27">
      <c r="A27" s="397" t="n"/>
      <c r="B27" s="432" t="n">
        <v>9</v>
      </c>
      <c r="C27" s="433" t="n">
        <v>5000</v>
      </c>
      <c r="D27" s="64" t="n"/>
      <c r="E27" s="448" t="n"/>
      <c r="F27" s="447" t="n"/>
      <c r="G27" s="453" t="n"/>
      <c r="H27" s="447" t="n"/>
    </row>
    <row customHeight="1" ht="20.1" r="28">
      <c r="A28" s="397" t="n"/>
      <c r="B28" s="432" t="n">
        <v>10</v>
      </c>
      <c r="C28" s="433" t="n">
        <v>6000</v>
      </c>
      <c r="D28" s="64" t="n"/>
      <c r="E28" s="448" t="n"/>
      <c r="F28" s="447" t="n"/>
      <c r="G28" s="453" t="n"/>
      <c r="H28" s="447" t="n"/>
    </row>
    <row customFormat="1" customHeight="1" ht="20.1" r="29" s="423">
      <c r="A29" s="397" t="n"/>
      <c r="B29" s="432" t="n">
        <v>11</v>
      </c>
      <c r="C29" s="433" t="n">
        <v>-500</v>
      </c>
      <c r="D29" s="102" t="n"/>
      <c r="E29" s="456" t="n"/>
      <c r="F29" s="447" t="n"/>
      <c r="G29" s="453" t="n"/>
      <c r="H29" s="447" t="n"/>
    </row>
    <row customFormat="1" customHeight="1" ht="20.1" r="30" s="423">
      <c r="A30" s="398" t="n"/>
      <c r="B30" s="434" t="n">
        <v>12</v>
      </c>
      <c r="C30" s="435" t="n">
        <v>-2000</v>
      </c>
      <c r="D30" s="443" t="n"/>
      <c r="E30" s="608" t="n"/>
      <c r="F30" s="458" t="n"/>
      <c r="G30" s="426" t="n"/>
      <c r="H30" s="458" t="n"/>
    </row>
    <row r="31">
      <c r="A31" s="45" t="inlineStr">
        <is>
          <t>Notes:</t>
        </is>
      </c>
    </row>
    <row customFormat="1" customHeight="1" ht="30" r="32" s="424">
      <c r="A32" s="54" t="inlineStr">
        <is>
          <t>1. No coolant and no HV cable connect during test the dut motor
    必须无冷却，电机必须不接线</t>
        </is>
      </c>
    </row>
    <row customHeight="1" ht="30" r="33">
      <c r="A33" s="53" t="n"/>
      <c r="B33" s="54" t="inlineStr">
        <is>
          <t>Automatic calculate
自动计算</t>
        </is>
      </c>
    </row>
  </sheetData>
  <mergeCells count="14">
    <mergeCell ref="D1:H1"/>
    <mergeCell ref="D2:H2"/>
    <mergeCell ref="A32:D32"/>
    <mergeCell ref="B33:D33"/>
    <mergeCell ref="A3:A8"/>
    <mergeCell ref="A10:A15"/>
    <mergeCell ref="A17:A30"/>
    <mergeCell ref="B3:B4"/>
    <mergeCell ref="B10:B11"/>
    <mergeCell ref="B17:B18"/>
    <mergeCell ref="F17:F30"/>
    <mergeCell ref="G10:G30"/>
    <mergeCell ref="H3:H30"/>
    <mergeCell ref="A1:C2"/>
  </mergeCells>
  <pageMargins bottom="0.3" footer="0.3" header="0.3" left="0.3" right="0.3" top="0.3"/>
  <pageSetup orientation="landscape"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27"/>
  <sheetViews>
    <sheetView showGridLines="0" topLeftCell="A4" workbookViewId="0" zoomScale="85" zoomScaleNormal="85">
      <selection activeCell="A13" sqref="$A8:$XFD26"/>
    </sheetView>
  </sheetViews>
  <sheetFormatPr baseColWidth="8" defaultColWidth="9.14423076923077" defaultRowHeight="16.8"/>
  <cols>
    <col customWidth="1" max="1" min="1" style="2" width="8.56730769230769"/>
    <col customWidth="1" max="2" min="2" style="2" width="13.5673076923077"/>
    <col customWidth="1" max="3" min="3" style="2" width="17.4230769230769"/>
    <col customWidth="1" max="4" min="4" style="2" width="9.85576923076923"/>
    <col customWidth="1" max="10" min="5" style="2" width="13.5673076923077"/>
    <col customWidth="1" max="16384" min="11" style="2" width="9.14423076923077"/>
  </cols>
  <sheetData>
    <row customFormat="1" customHeight="1" ht="30" r="1" s="45">
      <c r="A1" s="393" t="n"/>
      <c r="B1" s="76" t="n"/>
      <c r="C1" s="6" t="inlineStr">
        <is>
          <t>PRODUCT ACCEPTANCE TEST - BACK ELECTROMOTIVE FORCE</t>
        </is>
      </c>
      <c r="D1" s="24" t="n"/>
      <c r="E1" s="24" t="n"/>
      <c r="F1" s="24" t="n"/>
      <c r="G1" s="24" t="n"/>
      <c r="H1" s="24" t="n"/>
      <c r="I1" s="24" t="n"/>
      <c r="J1" s="25" t="n"/>
    </row>
    <row customFormat="1" customHeight="1" ht="30" r="2" s="45">
      <c r="A2" s="27" t="n"/>
      <c r="B2" s="29" t="n"/>
      <c r="C2" s="10">
        <f>'DUT Description'!C6&amp;" - "&amp;'DUT Description'!D6</f>
        <v/>
      </c>
      <c r="D2" s="28" t="n"/>
      <c r="E2" s="28" t="n"/>
      <c r="F2" s="28" t="n"/>
      <c r="G2" s="28" t="n"/>
      <c r="H2" s="28" t="n"/>
      <c r="I2" s="28" t="n"/>
      <c r="J2" s="29" t="n"/>
    </row>
    <row customFormat="1" customHeight="1" ht="30" r="3" s="352">
      <c r="A3" s="306" t="inlineStr">
        <is>
          <t>Coollant and Test Room Environment 
冷却系统和测试环境</t>
        </is>
      </c>
      <c r="B3" s="36" t="n"/>
      <c r="C3" s="36" t="n"/>
      <c r="D3" s="36" t="n"/>
      <c r="E3" s="36" t="n"/>
      <c r="F3" s="36" t="n"/>
      <c r="G3" s="36" t="n"/>
      <c r="H3" s="36" t="n"/>
      <c r="I3" s="36" t="n"/>
      <c r="J3" s="36" t="n"/>
    </row>
    <row customFormat="1" customHeight="1" ht="30" r="4" s="352">
      <c r="A4" s="205" t="inlineStr">
        <is>
          <t>D.U.T. Control Mode
被测电机控制模式</t>
        </is>
      </c>
      <c r="B4" s="25" t="n"/>
      <c r="C4" s="205" t="inlineStr">
        <is>
          <t>Rotating Direction
运转方向</t>
        </is>
      </c>
      <c r="D4" s="25" t="n"/>
      <c r="E4" s="49" t="inlineStr">
        <is>
          <t>Coolant Temperature
冷却介质温度</t>
        </is>
      </c>
      <c r="F4" s="13" t="n"/>
      <c r="G4" s="49" t="inlineStr">
        <is>
          <t>Winding Temperature
绕线温度</t>
        </is>
      </c>
      <c r="H4" s="13" t="n"/>
      <c r="I4" s="402" t="inlineStr">
        <is>
          <t>RT
室温</t>
        </is>
      </c>
      <c r="J4" s="402" t="inlineStr">
        <is>
          <t>RH
湿度</t>
        </is>
      </c>
      <c r="K4" s="421" t="n"/>
    </row>
    <row customFormat="1" customHeight="1" ht="20.1" r="5" s="352">
      <c r="A5" s="27" t="n"/>
      <c r="B5" s="29" t="n"/>
      <c r="C5" s="27" t="n"/>
      <c r="D5" s="29" t="n"/>
      <c r="E5" s="306" t="inlineStr">
        <is>
          <t>[°C]</t>
        </is>
      </c>
      <c r="F5" s="36" t="n"/>
      <c r="G5" s="276" t="inlineStr">
        <is>
          <t>[°C]</t>
        </is>
      </c>
      <c r="H5" s="13" t="n"/>
      <c r="I5" s="276" t="inlineStr">
        <is>
          <t>[°C]</t>
        </is>
      </c>
      <c r="J5" s="276" t="inlineStr">
        <is>
          <t>[%]</t>
        </is>
      </c>
      <c r="K5" s="421" t="n"/>
    </row>
    <row customFormat="1" customHeight="1" ht="30" r="6" s="352">
      <c r="A6" s="64" t="inlineStr">
        <is>
          <t>Disable 禁用</t>
        </is>
      </c>
      <c r="B6" s="13" t="n"/>
      <c r="C6" s="57" t="inlineStr">
        <is>
          <t>Positive正转</t>
        </is>
      </c>
      <c r="D6" s="13" t="n"/>
      <c r="E6" s="229" t="n">
        <v>55</v>
      </c>
      <c r="F6" s="36" t="n"/>
      <c r="G6" s="218" t="n">
        <v>55</v>
      </c>
      <c r="H6" s="13" t="n"/>
      <c r="I6" s="382">
        <f>'DUT Description'!C4</f>
        <v/>
      </c>
      <c r="J6" s="382">
        <f>'DUT Description'!D4</f>
        <v/>
      </c>
      <c r="K6" s="421" t="n"/>
    </row>
    <row customFormat="1" customHeight="1" ht="9.949999999999999" r="7" s="352">
      <c r="A7" s="394" t="n"/>
      <c r="B7" s="36" t="n"/>
      <c r="C7" s="36" t="n"/>
      <c r="D7" s="36" t="n"/>
      <c r="E7" s="36" t="n"/>
      <c r="F7" s="36" t="n"/>
      <c r="G7" s="36" t="n"/>
      <c r="H7" s="36" t="n"/>
      <c r="I7" s="36" t="n"/>
      <c r="J7" s="13" t="n"/>
      <c r="K7" s="421" t="n"/>
    </row>
    <row customHeight="1" ht="30" r="8">
      <c r="A8" s="395" t="inlineStr">
        <is>
          <t>Items 4. Motor BEMF Measurement
电机反电动势测量</t>
        </is>
      </c>
      <c r="B8" s="24" t="n"/>
      <c r="C8" s="24" t="n"/>
      <c r="D8" s="24" t="n"/>
      <c r="E8" s="24" t="n"/>
      <c r="F8" s="24" t="n"/>
      <c r="G8" s="24" t="n"/>
      <c r="H8" s="25" t="n"/>
      <c r="I8" s="422" t="inlineStr">
        <is>
          <t>Test Propose:
1. The purpose of this test is to know Ke parameter of DUT and phase voltage deviation.
目的是要知道被测电机的Ke参数和相电压偏差。</t>
        </is>
      </c>
      <c r="J8" s="25" t="n"/>
    </row>
    <row customHeight="1" ht="30" r="9">
      <c r="A9" s="396" t="inlineStr">
        <is>
          <t>Mechanical Data
机械参数</t>
        </is>
      </c>
      <c r="B9" s="50" t="inlineStr">
        <is>
          <t>Speed Set Point 
设定速度</t>
        </is>
      </c>
      <c r="C9" s="13" t="n"/>
      <c r="D9" s="131" t="inlineStr">
        <is>
          <t>[rpm]</t>
        </is>
      </c>
      <c r="E9" s="406" t="n">
        <v>1000</v>
      </c>
      <c r="F9" s="406" t="n">
        <v>2000</v>
      </c>
      <c r="G9" s="406" t="n">
        <v>3000</v>
      </c>
      <c r="H9" s="407" t="n">
        <v>4000</v>
      </c>
      <c r="I9" s="75" t="n"/>
      <c r="J9" s="76" t="n"/>
    </row>
    <row customHeight="1" ht="30" r="10">
      <c r="A10" s="397" t="n"/>
      <c r="B10" s="50" t="inlineStr">
        <is>
          <t>Speed Reading @ Inverter Feedback
逆变器反馈速度</t>
        </is>
      </c>
      <c r="C10" s="13" t="n"/>
      <c r="D10" s="116" t="inlineStr">
        <is>
          <t>[rpm]</t>
        </is>
      </c>
      <c r="E10" s="408" t="n">
        <v>1000</v>
      </c>
      <c r="F10" s="408" t="n">
        <v>2000</v>
      </c>
      <c r="G10" s="408" t="n">
        <v>3000</v>
      </c>
      <c r="H10" s="409" t="n">
        <v>4000</v>
      </c>
      <c r="I10" s="75" t="n"/>
      <c r="J10" s="76" t="n"/>
    </row>
    <row customHeight="1" ht="30" r="11">
      <c r="A11" s="397" t="n"/>
      <c r="B11" s="50" t="inlineStr">
        <is>
          <t>Speed Reading @ Inverter Feedback 
逆变器反馈速度</t>
        </is>
      </c>
      <c r="C11" s="13" t="n"/>
      <c r="D11" s="116" t="inlineStr">
        <is>
          <t>[rad/s]</t>
        </is>
      </c>
      <c r="E11" s="410">
        <f>E10/60*2*PI()</f>
        <v/>
      </c>
      <c r="F11" s="410">
        <f>F10/60*2*PI()</f>
        <v/>
      </c>
      <c r="G11" s="410">
        <f>G10/60*2*PI()</f>
        <v/>
      </c>
      <c r="H11" s="411">
        <f>H10/60*2*PI()</f>
        <v/>
      </c>
      <c r="I11" s="75" t="n"/>
      <c r="J11" s="76" t="n"/>
    </row>
    <row customHeight="1" ht="30" r="12">
      <c r="A12" s="398" t="n"/>
      <c r="B12" s="50" t="inlineStr">
        <is>
          <t>Frequency 
频率</t>
        </is>
      </c>
      <c r="C12" s="13" t="n"/>
      <c r="D12" s="116" t="inlineStr">
        <is>
          <t>[Hz]</t>
        </is>
      </c>
      <c r="E12" s="412">
        <f>E10*'DUT Description'!D8/60</f>
        <v/>
      </c>
      <c r="F12" s="412">
        <f>F10*'DUT Description'!D8/60</f>
        <v/>
      </c>
      <c r="G12" s="412">
        <f>G10*'DUT Description'!D8/60</f>
        <v/>
      </c>
      <c r="H12" s="413">
        <f>H10*'DUT Description'!D8/60</f>
        <v/>
      </c>
      <c r="I12" s="75" t="n"/>
      <c r="J12" s="76" t="n"/>
    </row>
    <row customHeight="1" ht="9.949999999999999" r="13">
      <c r="A13" s="81" t="n"/>
      <c r="B13" s="82" t="n"/>
      <c r="C13" s="82" t="n"/>
      <c r="D13" s="82" t="n"/>
      <c r="E13" s="82" t="n"/>
      <c r="F13" s="82" t="n"/>
      <c r="G13" s="82" t="n"/>
      <c r="H13" s="139" t="n"/>
      <c r="I13" s="75" t="n"/>
      <c r="J13" s="76" t="n"/>
    </row>
    <row customHeight="1" ht="30" r="14">
      <c r="A14" s="396" t="inlineStr">
        <is>
          <t>Electrical Data
电参数</t>
        </is>
      </c>
      <c r="B14" s="399" t="inlineStr">
        <is>
          <t>Motor Output Voltage ph-n [VRMS]
电机输出电压</t>
        </is>
      </c>
      <c r="C14" s="356" t="n"/>
      <c r="D14" s="400" t="inlineStr">
        <is>
          <t>Phase U</t>
        </is>
      </c>
      <c r="E14" s="414" t="n"/>
      <c r="F14" s="414" t="n"/>
      <c r="G14" s="414" t="n"/>
      <c r="H14" s="415" t="n"/>
      <c r="I14" s="75" t="n"/>
      <c r="J14" s="76" t="n"/>
    </row>
    <row customHeight="1" ht="30" r="15">
      <c r="A15" s="397" t="n"/>
      <c r="B15" s="75" t="n"/>
      <c r="C15" s="76" t="n"/>
      <c r="D15" s="401" t="inlineStr">
        <is>
          <t>Phase V</t>
        </is>
      </c>
      <c r="E15" s="15" t="n"/>
      <c r="F15" s="15" t="n"/>
      <c r="G15" s="15" t="n"/>
      <c r="H15" s="416" t="n"/>
      <c r="I15" s="75" t="n"/>
      <c r="J15" s="76" t="n"/>
    </row>
    <row customHeight="1" ht="30" r="16">
      <c r="A16" s="397" t="n"/>
      <c r="B16" s="75" t="n"/>
      <c r="C16" s="76" t="n"/>
      <c r="D16" s="401" t="inlineStr">
        <is>
          <t>Phase W</t>
        </is>
      </c>
      <c r="E16" s="15" t="n"/>
      <c r="F16" s="15" t="n"/>
      <c r="G16" s="15" t="n"/>
      <c r="H16" s="416" t="n"/>
      <c r="I16" s="75" t="n"/>
      <c r="J16" s="76" t="n"/>
    </row>
    <row customHeight="1" ht="30" r="17">
      <c r="A17" s="397" t="n"/>
      <c r="B17" s="27" t="n"/>
      <c r="C17" s="29" t="n"/>
      <c r="D17" s="401" t="inlineStr">
        <is>
          <t>Average</t>
        </is>
      </c>
      <c r="E17" s="412">
        <f>AVERAGE(E14:E16)</f>
        <v/>
      </c>
      <c r="F17" s="412">
        <f>AVERAGE(F14:F16)</f>
        <v/>
      </c>
      <c r="G17" s="412">
        <f>AVERAGE(G14:G16)</f>
        <v/>
      </c>
      <c r="H17" s="413">
        <f>AVERAGE(H14:H16)</f>
        <v/>
      </c>
      <c r="I17" s="75" t="n"/>
      <c r="J17" s="76" t="n"/>
    </row>
    <row customHeight="1" ht="30" r="18">
      <c r="A18" s="397" t="n"/>
      <c r="B18" s="402" t="inlineStr">
        <is>
          <t>Deviation (Ph-n)
偏差</t>
        </is>
      </c>
      <c r="C18" s="36" t="n"/>
      <c r="D18" s="13" t="n"/>
      <c r="E18" s="417">
        <f>MAX(ABS(E14-E15),ABS(E14-E16),ABS(E15-E16))/E17</f>
        <v/>
      </c>
      <c r="F18" s="417">
        <f>MAX(ABS(F14-F15),ABS(F14-F16),ABS(F15-F16))/F17</f>
        <v/>
      </c>
      <c r="G18" s="417">
        <f>MAX(ABS(G14-G15),ABS(G14-G16),ABS(G15-G16))/G17</f>
        <v/>
      </c>
      <c r="H18" s="418">
        <f>MAX(ABS(H14-H15),ABS(H14-H16),ABS(H15-H16))/H17</f>
        <v/>
      </c>
      <c r="I18" s="75" t="n"/>
      <c r="J18" s="76" t="n"/>
    </row>
    <row customHeight="1" ht="30" r="19">
      <c r="A19" s="397" t="n"/>
      <c r="B19" s="403" t="inlineStr">
        <is>
          <t>Ke [Vrms_ph-n/(rad/s)]</t>
        </is>
      </c>
      <c r="C19" s="36" t="n"/>
      <c r="D19" s="13" t="n"/>
      <c r="E19" s="412">
        <f>E17/E11</f>
        <v/>
      </c>
      <c r="F19" s="412">
        <f>F17/F11</f>
        <v/>
      </c>
      <c r="G19" s="412">
        <f>G17/G11</f>
        <v/>
      </c>
      <c r="H19" s="413">
        <f>H17/H11</f>
        <v/>
      </c>
      <c r="I19" s="75" t="n"/>
      <c r="J19" s="76" t="n"/>
    </row>
    <row customHeight="1" ht="30" r="20">
      <c r="A20" s="397" t="n"/>
      <c r="B20" s="402" t="inlineStr">
        <is>
          <t>Motor Output Voltage ph-ph [VRMS]
电机输出电压</t>
        </is>
      </c>
      <c r="C20" s="25" t="n"/>
      <c r="D20" s="401" t="inlineStr">
        <is>
          <t>Phase UV</t>
        </is>
      </c>
      <c r="E20" s="15" t="n"/>
      <c r="F20" s="15" t="n"/>
      <c r="G20" s="15" t="n"/>
      <c r="H20" s="416" t="n"/>
      <c r="I20" s="75" t="n"/>
      <c r="J20" s="76" t="n"/>
    </row>
    <row customHeight="1" ht="30" r="21">
      <c r="A21" s="397" t="n"/>
      <c r="B21" s="75" t="n"/>
      <c r="C21" s="76" t="n"/>
      <c r="D21" s="401" t="inlineStr">
        <is>
          <t>Phase VW</t>
        </is>
      </c>
      <c r="E21" s="15" t="n"/>
      <c r="F21" s="15" t="n"/>
      <c r="G21" s="15" t="n"/>
      <c r="H21" s="416" t="n"/>
      <c r="I21" s="75" t="n"/>
      <c r="J21" s="76" t="n"/>
    </row>
    <row customHeight="1" ht="30" r="22">
      <c r="A22" s="397" t="n"/>
      <c r="B22" s="75" t="n"/>
      <c r="C22" s="76" t="n"/>
      <c r="D22" s="401" t="inlineStr">
        <is>
          <t>Phase WU</t>
        </is>
      </c>
      <c r="E22" s="15" t="n"/>
      <c r="F22" s="15" t="n"/>
      <c r="G22" s="15" t="n"/>
      <c r="H22" s="416" t="n"/>
      <c r="I22" s="75" t="n"/>
      <c r="J22" s="76" t="n"/>
    </row>
    <row customHeight="1" ht="30" r="23">
      <c r="A23" s="397" t="n"/>
      <c r="B23" s="27" t="n"/>
      <c r="C23" s="29" t="n"/>
      <c r="D23" s="401" t="inlineStr">
        <is>
          <t>Average</t>
        </is>
      </c>
      <c r="E23" s="412">
        <f>AVERAGE(E20:E22)</f>
        <v/>
      </c>
      <c r="F23" s="412">
        <f>AVERAGE(F20:F22)</f>
        <v/>
      </c>
      <c r="G23" s="412">
        <f>AVERAGE(G20:G22)</f>
        <v/>
      </c>
      <c r="H23" s="413">
        <f>AVERAGE(H20:H22)</f>
        <v/>
      </c>
      <c r="I23" s="75" t="n"/>
      <c r="J23" s="76" t="n"/>
    </row>
    <row customHeight="1" ht="30" r="24">
      <c r="A24" s="397" t="n"/>
      <c r="B24" s="404" t="inlineStr">
        <is>
          <t>Deviation (Ph-Ph)
偏差</t>
        </is>
      </c>
      <c r="C24" s="36" t="n"/>
      <c r="D24" s="13" t="n"/>
      <c r="E24" s="417">
        <f>MAX(ABS(E20-E21),ABS(E20-E22),ABS(E21-E22))/E23</f>
        <v/>
      </c>
      <c r="F24" s="417">
        <f>MAX(ABS(F20-F21),ABS(F20-F22),ABS(F21-F22))/F23</f>
        <v/>
      </c>
      <c r="G24" s="417">
        <f>MAX(ABS(G20-G21),ABS(G20-G22),ABS(G21-G22))/G23</f>
        <v/>
      </c>
      <c r="H24" s="418">
        <f>MAX(ABS(H20-H21),ABS(H20-H22),ABS(H21-H22))/H23</f>
        <v/>
      </c>
      <c r="I24" s="75" t="n"/>
      <c r="J24" s="76" t="n"/>
    </row>
    <row customHeight="1" ht="30" r="25">
      <c r="A25" s="397" t="n"/>
      <c r="B25" s="403" t="inlineStr">
        <is>
          <t>Ke [Vrms_ph-ph/(rad/s)]</t>
        </is>
      </c>
      <c r="C25" s="36" t="n"/>
      <c r="D25" s="13" t="n"/>
      <c r="E25" s="412">
        <f>E20/E11</f>
        <v/>
      </c>
      <c r="F25" s="412">
        <f>F20/F11</f>
        <v/>
      </c>
      <c r="G25" s="412">
        <f>G20/G11</f>
        <v/>
      </c>
      <c r="H25" s="413">
        <f>H20/H11</f>
        <v/>
      </c>
      <c r="I25" s="75" t="n"/>
      <c r="J25" s="76" t="n"/>
    </row>
    <row customHeight="1" ht="30" r="26">
      <c r="A26" s="398" t="n"/>
      <c r="B26" s="405" t="inlineStr">
        <is>
          <t>Oscilloscope Value @ 1000rpm
1000转时示波器波形数据</t>
        </is>
      </c>
      <c r="C26" s="96" t="n"/>
      <c r="D26" s="134" t="n"/>
      <c r="E26" s="419" t="n"/>
      <c r="F26" s="96" t="n"/>
      <c r="G26" s="96" t="n"/>
      <c r="H26" s="420" t="n"/>
      <c r="I26" s="27" t="n"/>
      <c r="J26" s="29" t="n"/>
    </row>
    <row customHeight="1" ht="30" r="27">
      <c r="A27" s="53" t="n"/>
      <c r="B27" s="54" t="inlineStr">
        <is>
          <t>Automatic calculate
自动计算</t>
        </is>
      </c>
    </row>
  </sheetData>
  <mergeCells count="33">
    <mergeCell ref="C1:J1"/>
    <mergeCell ref="C2:J2"/>
    <mergeCell ref="A3:J3"/>
    <mergeCell ref="E4:F4"/>
    <mergeCell ref="G4:H4"/>
    <mergeCell ref="E5:F5"/>
    <mergeCell ref="G5:H5"/>
    <mergeCell ref="A6:B6"/>
    <mergeCell ref="C6:D6"/>
    <mergeCell ref="E6:F6"/>
    <mergeCell ref="G6:H6"/>
    <mergeCell ref="A7:J7"/>
    <mergeCell ref="A8:H8"/>
    <mergeCell ref="B9:C9"/>
    <mergeCell ref="B10:C10"/>
    <mergeCell ref="B11:C11"/>
    <mergeCell ref="B12:C12"/>
    <mergeCell ref="A13:H13"/>
    <mergeCell ref="B18:D18"/>
    <mergeCell ref="B19:D19"/>
    <mergeCell ref="B24:D24"/>
    <mergeCell ref="B25:D25"/>
    <mergeCell ref="B26:D26"/>
    <mergeCell ref="E26:H26"/>
    <mergeCell ref="B27:D27"/>
    <mergeCell ref="A9:A12"/>
    <mergeCell ref="A14:A26"/>
    <mergeCell ref="B14:C17"/>
    <mergeCell ref="B20:C23"/>
    <mergeCell ref="A1:B2"/>
    <mergeCell ref="A4:B5"/>
    <mergeCell ref="C4:D5"/>
    <mergeCell ref="I8:J26"/>
  </mergeCells>
  <dataValidations count="3">
    <dataValidation allowBlank="0" showErrorMessage="1" showInputMessage="1" sqref="B6 A6:A7" type="list">
      <formula1>"Disable 禁用,Enable使用"</formula1>
    </dataValidation>
    <dataValidation allowBlank="0" showErrorMessage="1" showInputMessage="1" sqref="C6" type="list">
      <formula1>"Positive正转, Negative反转"</formula1>
    </dataValidation>
    <dataValidation allowBlank="0" showErrorMessage="1" showInputMessage="1" sqref="E6:G6" type="list">
      <formula1>"20,45,55"</formula1>
    </dataValidation>
  </dataValidations>
  <pageMargins bottom="0.3" footer="0.3" header="0.3" left="0.3" right="0.3" top="0.3"/>
  <pageSetup orientation="landscape"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O53"/>
  <sheetViews>
    <sheetView showGridLines="0" tabSelected="1" topLeftCell="A8" workbookViewId="0" zoomScale="85" zoomScaleNormal="85">
      <selection activeCell="J20" sqref="J20:M21"/>
    </sheetView>
  </sheetViews>
  <sheetFormatPr baseColWidth="8" defaultColWidth="9.14423076923077" defaultRowHeight="16.8"/>
  <cols>
    <col customWidth="1" max="1" min="1" style="354" width="11.4230769230769"/>
    <col customWidth="1" max="2" min="2" style="354" width="8.71153846153846"/>
    <col customWidth="1" max="3" min="3" style="354" width="20.5673076923077"/>
    <col customWidth="1" max="15" min="4" style="354" width="8.14423076923077"/>
    <col customWidth="1" max="16384" min="16" style="354" width="9.14423076923077"/>
  </cols>
  <sheetData>
    <row customFormat="1" customHeight="1" ht="30" r="1" s="45">
      <c r="A1" s="355" t="n"/>
      <c r="B1" s="356" t="n"/>
      <c r="C1" s="357" t="inlineStr">
        <is>
          <t>PRODUCT ACCEPTANCE TEST - SHORT CIRCUIT</t>
        </is>
      </c>
      <c r="D1" s="202" t="n"/>
      <c r="E1" s="202" t="n"/>
      <c r="F1" s="202" t="n"/>
      <c r="G1" s="202" t="n"/>
      <c r="H1" s="202" t="n"/>
      <c r="I1" s="202" t="n"/>
      <c r="J1" s="202" t="n"/>
      <c r="K1" s="202" t="n"/>
      <c r="L1" s="202" t="n"/>
      <c r="M1" s="202" t="n"/>
      <c r="N1" s="202" t="n"/>
      <c r="O1" s="383" t="n"/>
    </row>
    <row customFormat="1" customHeight="1" ht="30" r="2" s="45">
      <c r="A2" s="203" t="n"/>
      <c r="B2" s="29" t="n"/>
      <c r="C2" s="358">
        <f>'DUT Description'!C6&amp;" - "&amp;'DUT Description'!D6</f>
        <v/>
      </c>
      <c r="D2" s="28" t="n"/>
      <c r="E2" s="28" t="n"/>
      <c r="F2" s="28" t="n"/>
      <c r="G2" s="28" t="n"/>
      <c r="H2" s="28" t="n"/>
      <c r="I2" s="28" t="n"/>
      <c r="J2" s="28" t="n"/>
      <c r="K2" s="28" t="n"/>
      <c r="L2" s="28" t="n"/>
      <c r="M2" s="28" t="n"/>
      <c r="N2" s="28" t="n"/>
      <c r="O2" s="384" t="n"/>
    </row>
    <row customFormat="1" customHeight="1" ht="30" r="3" s="352">
      <c r="A3" s="359" t="inlineStr">
        <is>
          <t>Coollant and Test Room Environment 
冷却系统和测试环境</t>
        </is>
      </c>
      <c r="B3" s="36" t="n"/>
      <c r="C3" s="36" t="n"/>
      <c r="D3" s="36" t="n"/>
      <c r="E3" s="36" t="n"/>
      <c r="F3" s="36" t="n"/>
      <c r="G3" s="36" t="n"/>
      <c r="H3" s="36" t="n"/>
      <c r="I3" s="36" t="n"/>
      <c r="J3" s="36" t="n"/>
      <c r="K3" s="36" t="n"/>
      <c r="L3" s="36" t="n"/>
      <c r="M3" s="36" t="n"/>
      <c r="N3" s="36" t="n"/>
      <c r="O3" s="242" t="n"/>
    </row>
    <row customFormat="1" customHeight="1" ht="30" r="4" s="352">
      <c r="A4" s="360" t="inlineStr">
        <is>
          <t>D.U.T. Control Mode
被测电机控制模式</t>
        </is>
      </c>
      <c r="B4" s="25" t="n"/>
      <c r="C4" s="361" t="inlineStr">
        <is>
          <t>Rotating Direction
运转方向</t>
        </is>
      </c>
      <c r="D4" s="25" t="n"/>
      <c r="E4" s="377" t="inlineStr">
        <is>
          <t>Coolant Temperature
冷却介质温度</t>
        </is>
      </c>
      <c r="F4" s="24" t="n"/>
      <c r="G4" s="24" t="n"/>
      <c r="H4" s="25" t="n"/>
      <c r="I4" s="378" t="inlineStr">
        <is>
          <t>Winding Temp. Range
绕线温度目标范围</t>
        </is>
      </c>
      <c r="J4" s="36" t="n"/>
      <c r="K4" s="13" t="n"/>
      <c r="L4" s="381" t="inlineStr">
        <is>
          <t>RT
室温</t>
        </is>
      </c>
      <c r="M4" s="13" t="n"/>
      <c r="N4" s="385" t="inlineStr">
        <is>
          <t>RH
湿度</t>
        </is>
      </c>
      <c r="O4" s="242" t="n"/>
    </row>
    <row customFormat="1" customHeight="1" ht="20.1" r="5" s="352">
      <c r="A5" s="203" t="n"/>
      <c r="B5" s="29" t="n"/>
      <c r="C5" s="27" t="n"/>
      <c r="D5" s="29" t="n"/>
      <c r="E5" s="378" t="inlineStr">
        <is>
          <t>[°C]</t>
        </is>
      </c>
      <c r="F5" s="36" t="n"/>
      <c r="G5" s="36" t="n"/>
      <c r="H5" s="13" t="n"/>
      <c r="I5" s="366" t="inlineStr">
        <is>
          <t>[°C]</t>
        </is>
      </c>
      <c r="J5" s="36" t="n"/>
      <c r="K5" s="13" t="n"/>
      <c r="L5" s="366" t="inlineStr">
        <is>
          <t>[°C]</t>
        </is>
      </c>
      <c r="M5" s="13" t="n"/>
      <c r="N5" s="386" t="inlineStr">
        <is>
          <t>[%]</t>
        </is>
      </c>
      <c r="O5" s="242" t="n"/>
    </row>
    <row customFormat="1" customHeight="1" ht="30" r="6" s="352">
      <c r="A6" s="362" t="inlineStr">
        <is>
          <t>Disenable 禁用</t>
        </is>
      </c>
      <c r="B6" s="13" t="n"/>
      <c r="C6" s="363" t="inlineStr">
        <is>
          <t>Positive正转</t>
        </is>
      </c>
      <c r="D6" s="13" t="n"/>
      <c r="E6" s="218" t="n">
        <v>55</v>
      </c>
      <c r="F6" s="36" t="n"/>
      <c r="G6" s="36" t="n"/>
      <c r="H6" s="13" t="n"/>
      <c r="I6" s="218" t="inlineStr">
        <is>
          <t>55 - 90</t>
        </is>
      </c>
      <c r="J6" s="36" t="n"/>
      <c r="K6" s="13" t="n"/>
      <c r="L6" s="382" t="n">
        <v>24.3</v>
      </c>
      <c r="M6" s="13" t="n"/>
      <c r="N6" s="387" t="n">
        <v>74.7</v>
      </c>
      <c r="O6" s="242" t="n"/>
    </row>
    <row customFormat="1" customHeight="1" ht="9.949999999999999" r="7" s="352">
      <c r="A7" s="364" t="n"/>
      <c r="B7" s="36" t="n"/>
      <c r="C7" s="36" t="n"/>
      <c r="D7" s="36" t="n"/>
      <c r="E7" s="36" t="n"/>
      <c r="F7" s="36" t="n"/>
      <c r="G7" s="36" t="n"/>
      <c r="H7" s="36" t="n"/>
      <c r="I7" s="36" t="n"/>
      <c r="J7" s="36" t="n"/>
      <c r="K7" s="36" t="n"/>
      <c r="L7" s="36" t="n"/>
      <c r="M7" s="36" t="n"/>
      <c r="N7" s="36" t="n"/>
      <c r="O7" s="242" t="n"/>
    </row>
    <row customFormat="1" customHeight="1" ht="30" r="8" s="353">
      <c r="A8" s="359" t="inlineStr">
        <is>
          <t>Item 5. Short - Circuit Measurement
短路测量</t>
        </is>
      </c>
      <c r="B8" s="36" t="n"/>
      <c r="C8" s="36" t="n"/>
      <c r="D8" s="36" t="n"/>
      <c r="E8" s="36" t="n"/>
      <c r="F8" s="36" t="n"/>
      <c r="G8" s="36" t="n"/>
      <c r="H8" s="36" t="n"/>
      <c r="I8" s="36" t="n"/>
      <c r="J8" s="36" t="n"/>
      <c r="K8" s="36" t="n"/>
      <c r="L8" s="36" t="n"/>
      <c r="M8" s="36" t="n"/>
      <c r="N8" s="36" t="n"/>
      <c r="O8" s="242" t="n"/>
    </row>
    <row customFormat="1" customHeight="1" ht="30" r="9" s="353">
      <c r="A9" s="365" t="inlineStr">
        <is>
          <t>Speed [rpm]
速度</t>
        </is>
      </c>
      <c r="B9" s="36" t="n"/>
      <c r="C9" s="13" t="n"/>
      <c r="D9" s="366" t="n">
        <v>100</v>
      </c>
      <c r="E9" s="366" t="n">
        <v>200</v>
      </c>
      <c r="F9" s="366" t="n">
        <v>300</v>
      </c>
      <c r="G9" s="366" t="n">
        <v>400</v>
      </c>
      <c r="H9" s="366" t="n">
        <v>500</v>
      </c>
      <c r="I9" s="366" t="n">
        <v>750</v>
      </c>
      <c r="J9" s="366" t="n">
        <v>1000</v>
      </c>
      <c r="K9" s="366" t="n">
        <v>2000</v>
      </c>
      <c r="L9" s="366" t="n">
        <v>3000</v>
      </c>
      <c r="M9" s="366" t="n">
        <v>4000</v>
      </c>
      <c r="N9" s="388" t="inlineStr">
        <is>
          <t>Test Propose
1. the purpose of this test is to check inductance of each phase and inductance difference between phases.
测试目的是检查每相电感和不同相间的电感。</t>
        </is>
      </c>
      <c r="O9" s="389" t="n"/>
    </row>
    <row customFormat="1" customHeight="1" ht="24.95" r="10" s="353">
      <c r="A10" s="365" t="inlineStr">
        <is>
          <t>Phase U Current
U相电流</t>
        </is>
      </c>
      <c r="B10" s="25" t="n"/>
      <c r="C10" s="367" t="inlineStr">
        <is>
          <t>[Arms]</t>
        </is>
      </c>
      <c r="D10" s="126" t="n"/>
      <c r="E10" s="126" t="n"/>
      <c r="F10" s="126" t="n"/>
      <c r="G10" s="126" t="n"/>
      <c r="H10" s="126" t="n"/>
      <c r="I10" s="126" t="n"/>
      <c r="J10" s="126" t="n">
        <v>190.4</v>
      </c>
      <c r="K10" s="126" t="n">
        <v>193.32</v>
      </c>
      <c r="L10" s="126" t="n">
        <v>193.94</v>
      </c>
      <c r="M10" s="126" t="n">
        <v>194.12</v>
      </c>
      <c r="N10" s="75" t="n"/>
      <c r="O10" s="390" t="n"/>
    </row>
    <row customFormat="1" customHeight="1" ht="24.95" r="11" s="353">
      <c r="A11" s="203" t="n"/>
      <c r="B11" s="29" t="n"/>
      <c r="C11" s="367" t="inlineStr">
        <is>
          <t>Fundamental [Arms]</t>
        </is>
      </c>
      <c r="D11" s="126" t="n"/>
      <c r="E11" s="126" t="n"/>
      <c r="F11" s="126" t="n"/>
      <c r="G11" s="126" t="n"/>
      <c r="H11" s="126" t="n"/>
      <c r="I11" s="126" t="n"/>
      <c r="J11" s="126" t="n">
        <v>190.31</v>
      </c>
      <c r="K11" s="126" t="n">
        <v>193.23</v>
      </c>
      <c r="L11" s="126" t="n">
        <v>193.92</v>
      </c>
      <c r="M11" s="126" t="n">
        <v>194.05</v>
      </c>
      <c r="N11" s="75" t="n"/>
      <c r="O11" s="390" t="n"/>
    </row>
    <row customFormat="1" customHeight="1" ht="24.95" r="12" s="353">
      <c r="A12" s="368" t="inlineStr">
        <is>
          <t>Phase V Current
V相电流</t>
        </is>
      </c>
      <c r="B12" s="25" t="n"/>
      <c r="C12" s="367" t="inlineStr">
        <is>
          <t>[Arms]</t>
        </is>
      </c>
      <c r="D12" s="126" t="n"/>
      <c r="E12" s="126" t="n"/>
      <c r="F12" s="126" t="n"/>
      <c r="G12" s="126" t="n"/>
      <c r="H12" s="126" t="n"/>
      <c r="I12" s="126" t="n"/>
      <c r="J12" s="126" t="n">
        <v>191.95</v>
      </c>
      <c r="K12" s="126" t="n">
        <v>196.21</v>
      </c>
      <c r="L12" s="126" t="n">
        <v>197.26</v>
      </c>
      <c r="M12" s="126" t="n">
        <v>197.61</v>
      </c>
      <c r="N12" s="75" t="n"/>
      <c r="O12" s="390" t="n"/>
    </row>
    <row customFormat="1" customHeight="1" ht="24.95" r="13" s="353">
      <c r="A13" s="203" t="n"/>
      <c r="B13" s="29" t="n"/>
      <c r="C13" s="367" t="inlineStr">
        <is>
          <t>Fundamental [Arms]</t>
        </is>
      </c>
      <c r="D13" s="126" t="n"/>
      <c r="E13" s="126" t="n"/>
      <c r="F13" s="126" t="n"/>
      <c r="G13" s="126" t="n"/>
      <c r="H13" s="126" t="n"/>
      <c r="I13" s="126" t="n"/>
      <c r="J13" s="126" t="n">
        <v>191.86</v>
      </c>
      <c r="K13" s="126" t="n">
        <v>196.12</v>
      </c>
      <c r="L13" s="126" t="n">
        <v>197.25</v>
      </c>
      <c r="M13" s="126" t="n">
        <v>197.55</v>
      </c>
      <c r="N13" s="75" t="n"/>
      <c r="O13" s="390" t="n"/>
    </row>
    <row customFormat="1" customHeight="1" ht="24.95" r="14" s="353">
      <c r="A14" s="365" t="inlineStr">
        <is>
          <t>Phase W Current
W相电流</t>
        </is>
      </c>
      <c r="B14" s="25" t="n"/>
      <c r="C14" s="367" t="inlineStr">
        <is>
          <t>[Arms]</t>
        </is>
      </c>
      <c r="D14" s="126" t="n"/>
      <c r="E14" s="126" t="n"/>
      <c r="F14" s="126" t="n"/>
      <c r="G14" s="126" t="n"/>
      <c r="H14" s="126" t="n"/>
      <c r="I14" s="126" t="n"/>
      <c r="J14" s="126" t="n">
        <v>200.26</v>
      </c>
      <c r="K14" s="126" t="n">
        <v>203.93</v>
      </c>
      <c r="L14" s="126" t="n">
        <v>204.62</v>
      </c>
      <c r="M14" s="126" t="n">
        <v>204.79</v>
      </c>
      <c r="N14" s="75" t="n"/>
      <c r="O14" s="390" t="n"/>
    </row>
    <row customFormat="1" customHeight="1" ht="24.95" r="15" s="353">
      <c r="A15" s="203" t="n"/>
      <c r="B15" s="29" t="n"/>
      <c r="C15" s="367" t="inlineStr">
        <is>
          <t>Fundamental [Arms]</t>
        </is>
      </c>
      <c r="D15" s="126" t="n"/>
      <c r="E15" s="126" t="n"/>
      <c r="F15" s="126" t="n"/>
      <c r="G15" s="126" t="n"/>
      <c r="H15" s="126" t="n"/>
      <c r="I15" s="126" t="n"/>
      <c r="J15" s="126" t="n">
        <v>200.16</v>
      </c>
      <c r="K15" s="126" t="n">
        <v>203.84</v>
      </c>
      <c r="L15" s="126" t="n">
        <v>204.6</v>
      </c>
      <c r="M15" s="126" t="n">
        <v>204.72</v>
      </c>
      <c r="N15" s="75" t="n"/>
      <c r="O15" s="390" t="n"/>
    </row>
    <row customFormat="1" customHeight="1" ht="24.95" r="16" s="353">
      <c r="A16" s="365" t="inlineStr">
        <is>
          <t>Average
平均值</t>
        </is>
      </c>
      <c r="B16" s="25" t="n"/>
      <c r="C16" s="369" t="inlineStr">
        <is>
          <t>[Arms]</t>
        </is>
      </c>
      <c r="D16" s="137">
        <f>AVERAGE(D10,D12,D14)</f>
        <v/>
      </c>
      <c r="E16" s="137">
        <f>AVERAGE(E10,E12,E14)</f>
        <v/>
      </c>
      <c r="F16" s="137">
        <f>AVERAGE(F10,F12,F14)</f>
        <v/>
      </c>
      <c r="G16" s="137">
        <f>AVERAGE(G10,G12,G14)</f>
        <v/>
      </c>
      <c r="H16" s="137">
        <f>AVERAGE(H10,H12,H14)</f>
        <v/>
      </c>
      <c r="I16" s="137">
        <f>AVERAGE(I10,I12,I14)</f>
        <v/>
      </c>
      <c r="J16" s="137">
        <f>AVERAGE(J10,J12,J14)</f>
        <v/>
      </c>
      <c r="K16" s="137">
        <f>AVERAGE(K10,K12,K14)</f>
        <v/>
      </c>
      <c r="L16" s="137">
        <f>AVERAGE(L10,L12,L14)</f>
        <v/>
      </c>
      <c r="M16" s="137">
        <f>AVERAGE(M10,M12,M14)</f>
        <v/>
      </c>
      <c r="N16" s="75" t="n"/>
      <c r="O16" s="390" t="n"/>
    </row>
    <row customFormat="1" customHeight="1" ht="24.95" r="17" s="353">
      <c r="A17" s="203" t="n"/>
      <c r="B17" s="29" t="n"/>
      <c r="C17" s="369" t="inlineStr">
        <is>
          <t>Fundamental [Arms]</t>
        </is>
      </c>
      <c r="D17" s="137">
        <f>AVERAGE(D11,D13,D15)</f>
        <v/>
      </c>
      <c r="E17" s="137">
        <f>AVERAGE(E11,E13,E15)</f>
        <v/>
      </c>
      <c r="F17" s="137">
        <f>AVERAGE(F11,F13,F15)</f>
        <v/>
      </c>
      <c r="G17" s="137">
        <f>AVERAGE(G11,G13,G15)</f>
        <v/>
      </c>
      <c r="H17" s="137">
        <f>AVERAGE(H11,H13,H15)</f>
        <v/>
      </c>
      <c r="I17" s="137">
        <f>AVERAGE(I11,I13,I15)</f>
        <v/>
      </c>
      <c r="J17" s="137">
        <f>AVERAGE(J11,J13,J15)</f>
        <v/>
      </c>
      <c r="K17" s="137">
        <f>AVERAGE(K11,K13,K15)</f>
        <v/>
      </c>
      <c r="L17" s="137">
        <f>AVERAGE(L11,L13,L15)</f>
        <v/>
      </c>
      <c r="M17" s="137">
        <f>AVERAGE(M11,M13,M15)</f>
        <v/>
      </c>
      <c r="N17" s="75" t="n"/>
      <c r="O17" s="390" t="n"/>
    </row>
    <row customFormat="1" customHeight="1" ht="24.95" r="18" s="353">
      <c r="A18" s="370" t="inlineStr">
        <is>
          <t>Deviation
偏差</t>
        </is>
      </c>
      <c r="B18" s="24" t="n"/>
      <c r="C18" s="371" t="inlineStr">
        <is>
          <t>[%]</t>
        </is>
      </c>
      <c r="D18" s="372">
        <f>MAX(ABS(D10-D12),ABS(D10-D14),ABS(D12-D14))/D16</f>
        <v/>
      </c>
      <c r="E18" s="372">
        <f>MAX(ABS(E10-E12),ABS(E10-E14),ABS(E12-E14))/E16</f>
        <v/>
      </c>
      <c r="F18" s="372">
        <f>MAX(ABS(F10-F12),ABS(F10-F14),ABS(F12-F14))/F16</f>
        <v/>
      </c>
      <c r="G18" s="372">
        <f>MAX(ABS(G10-G12),ABS(G10-G14),ABS(G12-G14))/G16</f>
        <v/>
      </c>
      <c r="H18" s="372">
        <f>MAX(ABS(H10-H12),ABS(H10-H14),ABS(H12-H14))/H16</f>
        <v/>
      </c>
      <c r="I18" s="372">
        <f>MAX(ABS(I10-I12),ABS(I10-I14),ABS(I12-I14))/I16</f>
        <v/>
      </c>
      <c r="J18" s="372">
        <f>MAX(ABS(J10-J12),ABS(J10-J14),ABS(J12-J14))/J16</f>
        <v/>
      </c>
      <c r="K18" s="372">
        <f>MAX(ABS(K10-K12),ABS(K10-K14),ABS(K12-K14))/K16</f>
        <v/>
      </c>
      <c r="L18" s="372">
        <f>MAX(ABS(L10-L12),ABS(L10-L14),ABS(L12-L14))/L16</f>
        <v/>
      </c>
      <c r="M18" s="372">
        <f>MAX(ABS(M10-M12),ABS(M10-M14),ABS(M12-M14))/M16</f>
        <v/>
      </c>
      <c r="N18" s="75" t="n"/>
      <c r="O18" s="390" t="n"/>
    </row>
    <row customFormat="1" customHeight="1" ht="24.95" r="19" s="353">
      <c r="A19" s="203" t="n"/>
      <c r="B19" s="28" t="n"/>
      <c r="C19" s="371" t="inlineStr">
        <is>
          <t>Fundamental [%]</t>
        </is>
      </c>
      <c r="D19" s="373">
        <f>MAX(ABS(D11-D13),ABS(D11-D15),ABS(D13-D15))/D17</f>
        <v/>
      </c>
      <c r="E19" s="373">
        <f>MAX(ABS(E11-E13),ABS(E11-E15),ABS(E13-E15))/E17</f>
        <v/>
      </c>
      <c r="F19" s="373">
        <f>MAX(ABS(F11-F13),ABS(F11-F15),ABS(F13-F15))/F17</f>
        <v/>
      </c>
      <c r="G19" s="373">
        <f>MAX(ABS(G11-G13),ABS(G11-G15),ABS(G13-G15))/G17</f>
        <v/>
      </c>
      <c r="H19" s="373">
        <f>MAX(ABS(H11-H13),ABS(H11-H15),ABS(H13-H15))/H17</f>
        <v/>
      </c>
      <c r="I19" s="373">
        <f>MAX(ABS(I11-I13),ABS(I11-I15),ABS(I13-I15))/I17</f>
        <v/>
      </c>
      <c r="J19" s="373">
        <f>MAX(ABS(J11-J13),ABS(J11-J15),ABS(J13-J15))/J17</f>
        <v/>
      </c>
      <c r="K19" s="373">
        <f>MAX(ABS(K11-K13),ABS(K11-K15),ABS(K13-K15))/K17</f>
        <v/>
      </c>
      <c r="L19" s="373">
        <f>MAX(ABS(L11-L13),ABS(L11-L15),ABS(L13-L15))/L17</f>
        <v/>
      </c>
      <c r="M19" s="373">
        <f>MAX(ABS(M11-M13),ABS(M11-M15),ABS(M13-M15))/M17</f>
        <v/>
      </c>
      <c r="N19" s="75" t="n"/>
      <c r="O19" s="390" t="n"/>
    </row>
    <row customFormat="1" customHeight="1" ht="30" r="20" s="353">
      <c r="A20" s="370" t="inlineStr">
        <is>
          <t>Torque
扭矩</t>
        </is>
      </c>
      <c r="B20" s="36" t="n"/>
      <c r="C20" s="371" t="inlineStr">
        <is>
          <t>[Nm]</t>
        </is>
      </c>
      <c r="D20" s="315" t="n"/>
      <c r="E20" s="609" t="n"/>
      <c r="F20" s="380" t="n"/>
      <c r="G20" s="380" t="n"/>
      <c r="H20" s="380" t="n"/>
      <c r="I20" s="380" t="n"/>
      <c r="J20" s="380" t="n">
        <v>-37.27</v>
      </c>
      <c r="K20" s="380" t="n">
        <v>-20.86</v>
      </c>
      <c r="L20" s="380" t="n">
        <v>-15.21</v>
      </c>
      <c r="M20" s="380" t="n">
        <v>-11.67</v>
      </c>
      <c r="N20" s="75" t="n"/>
      <c r="O20" s="390" t="n"/>
    </row>
    <row customFormat="1" customHeight="1" ht="30" r="21" s="353">
      <c r="A21" s="370" t="inlineStr">
        <is>
          <t>Motor Temp.
电机温度</t>
        </is>
      </c>
      <c r="B21" s="36" t="n"/>
      <c r="C21" s="371" t="inlineStr">
        <is>
          <t>[°C]</t>
        </is>
      </c>
      <c r="D21" s="315" t="n"/>
      <c r="E21" s="380" t="n"/>
      <c r="F21" s="380" t="n"/>
      <c r="G21" s="380" t="n"/>
      <c r="H21" s="380" t="n"/>
      <c r="I21" s="380" t="n"/>
      <c r="J21" s="380" t="n">
        <v>42.2</v>
      </c>
      <c r="K21" s="380" t="n">
        <v>57.2</v>
      </c>
      <c r="L21" s="380" t="n">
        <v>75</v>
      </c>
      <c r="M21" s="380" t="n">
        <v>88.59999999999999</v>
      </c>
      <c r="N21" s="75" t="n"/>
      <c r="O21" s="390" t="n"/>
    </row>
    <row customFormat="1" customHeight="1" ht="30" r="22" s="353">
      <c r="A22" s="610" t="inlineStr">
        <is>
          <t>Power
功率</t>
        </is>
      </c>
      <c r="B22" s="134" t="n"/>
      <c r="C22" s="611" t="inlineStr">
        <is>
          <t>[Kw]</t>
        </is>
      </c>
      <c r="D22" s="376">
        <f>D9*D20*2*PI()/60/1000</f>
        <v/>
      </c>
      <c r="E22" s="376">
        <f>E9*E20*2*PI()/60/1000</f>
        <v/>
      </c>
      <c r="F22" s="376">
        <f>F9*F20*2*PI()/60/1000</f>
        <v/>
      </c>
      <c r="G22" s="376">
        <f>G9*G20*2*PI()/60/1000</f>
        <v/>
      </c>
      <c r="H22" s="376">
        <f>H9*H20*2*PI()/60/1000</f>
        <v/>
      </c>
      <c r="I22" s="376">
        <f>I9*I20*2*PI()/60/1000</f>
        <v/>
      </c>
      <c r="J22" s="376">
        <f>J9*J20*2*PI()/60/1000</f>
        <v/>
      </c>
      <c r="K22" s="376">
        <f>K9*K20*2*PI()/60/1000</f>
        <v/>
      </c>
      <c r="L22" s="376">
        <f>L9*L20*2*PI()/60/1000</f>
        <v/>
      </c>
      <c r="M22" s="376">
        <f>M9*M20*2*PI()/60/1000</f>
        <v/>
      </c>
      <c r="N22" s="391" t="n"/>
      <c r="O22" s="392" t="n"/>
    </row>
    <row customHeight="1" ht="30" r="23">
      <c r="A23" s="53" t="n"/>
      <c r="B23" s="54" t="inlineStr">
        <is>
          <t>Automatic calculate
自动计算</t>
        </is>
      </c>
    </row>
    <row customHeight="1" ht="15" r="24"/>
    <row customHeight="1" ht="15" r="25"/>
    <row customHeight="1" ht="15" r="26"/>
    <row customHeight="1" ht="15" r="27"/>
    <row customHeight="1" ht="15" r="28"/>
    <row customHeight="1" ht="15" r="29"/>
    <row customHeight="1" ht="15" r="30"/>
    <row customHeight="1" ht="15" r="31"/>
    <row customHeight="1" ht="15" r="32"/>
    <row customHeight="1" ht="15" r="33"/>
    <row customHeight="1" ht="15" r="34"/>
    <row customHeight="1" ht="15" r="35"/>
    <row customHeight="1" ht="15" r="36"/>
    <row customHeight="1" ht="15" r="37"/>
    <row customHeight="1" ht="15" r="38"/>
    <row customHeight="1" ht="15" r="39"/>
    <row customHeight="1" ht="15" r="40"/>
    <row customHeight="1" ht="15" r="41"/>
    <row customHeight="1" ht="15" r="42"/>
    <row customHeight="1" ht="15" r="43"/>
    <row customHeight="1" ht="15" r="44"/>
    <row customHeight="1" ht="15" r="45"/>
    <row customHeight="1" ht="15" r="46"/>
    <row customHeight="1" ht="15" r="47"/>
    <row customHeight="1" ht="15" r="48"/>
    <row customHeight="1" ht="15" r="49"/>
    <row customHeight="1" ht="15" r="50"/>
    <row customHeight="1" ht="15" r="51"/>
    <row customHeight="1" ht="15" r="52"/>
    <row customHeight="1" ht="15" r="53">
      <c r="B53" s="354" t="inlineStr"/>
    </row>
  </sheetData>
  <mergeCells count="33">
    <mergeCell ref="C1:O1"/>
    <mergeCell ref="C2:O2"/>
    <mergeCell ref="A3:O3"/>
    <mergeCell ref="E4:H4"/>
    <mergeCell ref="I4:K4"/>
    <mergeCell ref="L4:M4"/>
    <mergeCell ref="N4:O4"/>
    <mergeCell ref="E5:H5"/>
    <mergeCell ref="I5:K5"/>
    <mergeCell ref="L5:M5"/>
    <mergeCell ref="N5:O5"/>
    <mergeCell ref="A6:B6"/>
    <mergeCell ref="C6:D6"/>
    <mergeCell ref="E6:H6"/>
    <mergeCell ref="I6:K6"/>
    <mergeCell ref="L6:M6"/>
    <mergeCell ref="N6:O6"/>
    <mergeCell ref="A7:O7"/>
    <mergeCell ref="A8:O8"/>
    <mergeCell ref="A9:C9"/>
    <mergeCell ref="A20:B20"/>
    <mergeCell ref="A21:B21"/>
    <mergeCell ref="A22:B22"/>
    <mergeCell ref="B23:D23"/>
    <mergeCell ref="N9:O22"/>
    <mergeCell ref="A10:B11"/>
    <mergeCell ref="A12:B13"/>
    <mergeCell ref="A14:B15"/>
    <mergeCell ref="A16:B17"/>
    <mergeCell ref="A18:B19"/>
    <mergeCell ref="A1:B2"/>
    <mergeCell ref="A4:B5"/>
    <mergeCell ref="C4:D5"/>
  </mergeCells>
  <dataValidations count="4">
    <dataValidation allowBlank="0" showErrorMessage="1" showInputMessage="1" sqref="B6 A6:A7" type="list">
      <formula1>"Disable 禁用,Enable使用"</formula1>
    </dataValidation>
    <dataValidation allowBlank="0" showErrorMessage="1" showInputMessage="1" sqref="C6" type="list">
      <formula1>"Positive正转, Negative反转"</formula1>
    </dataValidation>
    <dataValidation allowBlank="0" showErrorMessage="1" showInputMessage="1" sqref="E6" type="list">
      <formula1>"20,45,55"</formula1>
    </dataValidation>
    <dataValidation allowBlank="0" showErrorMessage="1" showInputMessage="1" sqref="I6" type="list">
      <formula1>"55 - 90"</formula1>
    </dataValidation>
  </dataValidations>
  <pageMargins bottom="0.3" footer="0.3" header="0.3" left="0.3" right="0.3" top="0.3"/>
  <pageSetup orientation="landscape"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Q37"/>
  <sheetViews>
    <sheetView showGridLines="0" topLeftCell="A19" workbookViewId="0" zoomScale="85" zoomScaleNormal="85">
      <selection activeCell="Q16" sqref="Q16"/>
    </sheetView>
  </sheetViews>
  <sheetFormatPr baseColWidth="8" defaultColWidth="9.14423076923077" defaultRowHeight="16.8"/>
  <cols>
    <col customWidth="1" max="10" min="1" style="2" width="9.56730769230769"/>
    <col customWidth="1" max="11" min="11" style="2" width="9.71153846153846"/>
    <col customWidth="1" max="13" min="12" style="2" width="9.56730769230769"/>
    <col customWidth="1" max="14" min="14" style="2" width="10.8557692307692"/>
    <col customWidth="1" max="16384" min="15" style="2" width="9.14423076923077"/>
  </cols>
  <sheetData>
    <row customFormat="1" customHeight="1" ht="30" r="1" s="45">
      <c r="A1" s="201" t="n"/>
      <c r="B1" s="202" t="n"/>
      <c r="C1" s="6" t="inlineStr">
        <is>
          <t>PRODUCT ACCEPTANCE TEST - PM MOTOR PARAMETERS</t>
        </is>
      </c>
      <c r="D1" s="24" t="n"/>
      <c r="E1" s="24" t="n"/>
      <c r="F1" s="24" t="n"/>
      <c r="G1" s="24" t="n"/>
      <c r="H1" s="24" t="n"/>
      <c r="I1" s="24" t="n"/>
      <c r="J1" s="24" t="n"/>
      <c r="K1" s="24" t="n"/>
      <c r="L1" s="24" t="n"/>
      <c r="M1" s="24" t="n"/>
      <c r="N1" s="25" t="n"/>
    </row>
    <row customFormat="1" customHeight="1" ht="30" r="2" s="45">
      <c r="A2" s="203" t="n"/>
      <c r="B2" s="28" t="n"/>
      <c r="C2" s="10">
        <f>'DUT Description'!C6&amp;" - "&amp;'DUT Description'!D6</f>
        <v/>
      </c>
      <c r="D2" s="28" t="n"/>
      <c r="E2" s="28" t="n"/>
      <c r="F2" s="28" t="n"/>
      <c r="G2" s="28" t="n"/>
      <c r="H2" s="28" t="n"/>
      <c r="I2" s="28" t="n"/>
      <c r="J2" s="28" t="n"/>
      <c r="K2" s="28" t="n"/>
      <c r="L2" s="28" t="n"/>
      <c r="M2" s="28" t="n"/>
      <c r="N2" s="29" t="n"/>
    </row>
    <row customHeight="1" ht="30" r="3">
      <c r="A3" s="297" t="inlineStr">
        <is>
          <t>Item 6. Motor Control Parameters Calculation
电机控制参数计算</t>
        </is>
      </c>
      <c r="B3" s="36" t="n"/>
      <c r="C3" s="36" t="n"/>
      <c r="D3" s="36" t="n"/>
      <c r="E3" s="36" t="n"/>
      <c r="F3" s="36" t="n"/>
      <c r="G3" s="36" t="n"/>
      <c r="H3" s="36" t="n"/>
      <c r="I3" s="36" t="n"/>
      <c r="J3" s="36" t="n"/>
      <c r="K3" s="36" t="n"/>
      <c r="L3" s="36" t="n"/>
      <c r="M3" s="36" t="n"/>
      <c r="N3" s="36" t="n"/>
    </row>
    <row customFormat="1" customHeight="1" ht="30" r="4" s="73">
      <c r="A4" s="208" t="inlineStr">
        <is>
          <t>1. Winding Resistance Calculation
    绕组电阻计算</t>
        </is>
      </c>
      <c r="B4" s="36" t="n"/>
      <c r="C4" s="36" t="n"/>
      <c r="D4" s="36" t="n"/>
      <c r="E4" s="36" t="n"/>
      <c r="F4" s="36" t="n"/>
      <c r="G4" s="36" t="n"/>
      <c r="H4" s="36" t="n"/>
      <c r="I4" s="36" t="n"/>
      <c r="J4" s="36" t="n"/>
      <c r="K4" s="36" t="n"/>
      <c r="L4" s="36" t="n"/>
      <c r="M4" s="36" t="n"/>
      <c r="N4" s="13" t="n"/>
    </row>
    <row customHeight="1" ht="30" r="5">
      <c r="A5" s="298" t="inlineStr">
        <is>
          <t>Winding Resistance ph-ph
相间绕组阻值 ( mohm )</t>
        </is>
      </c>
      <c r="B5" s="36" t="n"/>
      <c r="C5" s="13" t="n"/>
      <c r="D5" s="298" t="inlineStr">
        <is>
          <t>Winding Resistance ph-n
相间绕组阻值 ( mohm )</t>
        </is>
      </c>
      <c r="E5" s="36" t="n"/>
      <c r="F5" s="13" t="n"/>
      <c r="G5" s="302" t="inlineStr">
        <is>
          <t>Average Resistance 
(Phase to Neutral)
平均电阻 （中性相）</t>
        </is>
      </c>
      <c r="H5" s="25" t="n"/>
      <c r="I5" s="49" t="inlineStr">
        <is>
          <t>Deviation
偏差</t>
        </is>
      </c>
      <c r="J5" s="25" t="n"/>
      <c r="K5" s="23" t="inlineStr">
        <is>
          <t>Stator_Resistance_EEPROM
(Ohmsx10000)</t>
        </is>
      </c>
      <c r="L5" s="24" t="n"/>
      <c r="M5" s="24" t="n"/>
      <c r="N5" s="25" t="n"/>
    </row>
    <row customHeight="1" ht="20.1" r="6">
      <c r="A6" s="299" t="inlineStr">
        <is>
          <t>Phase 1-2</t>
        </is>
      </c>
      <c r="B6" s="300" t="inlineStr">
        <is>
          <t>Phase 2-3</t>
        </is>
      </c>
      <c r="C6" s="301" t="inlineStr">
        <is>
          <t>Phase 3-1</t>
        </is>
      </c>
      <c r="D6" s="302" t="inlineStr">
        <is>
          <t>Phase U</t>
        </is>
      </c>
      <c r="E6" s="319" t="inlineStr">
        <is>
          <t>Phase V</t>
        </is>
      </c>
      <c r="F6" s="302" t="inlineStr">
        <is>
          <t>Phase W</t>
        </is>
      </c>
      <c r="G6" s="27" t="n"/>
      <c r="H6" s="29" t="n"/>
      <c r="I6" s="27" t="n"/>
      <c r="J6" s="29" t="n"/>
      <c r="K6" s="27" t="n"/>
      <c r="L6" s="28" t="n"/>
      <c r="M6" s="28" t="n"/>
      <c r="N6" s="29" t="n"/>
    </row>
    <row customFormat="1" customHeight="1" ht="30" r="7" s="612">
      <c r="A7" s="613">
        <f>'IR measure'!A11</f>
        <v/>
      </c>
      <c r="B7" s="614">
        <f>'IR measure'!C11</f>
        <v/>
      </c>
      <c r="C7" s="614">
        <f>'IR measure'!F11</f>
        <v/>
      </c>
      <c r="D7" s="615">
        <f>(C7+(A7-B7))/2</f>
        <v/>
      </c>
      <c r="E7" s="615">
        <f>A7-D7</f>
        <v/>
      </c>
      <c r="F7" s="615">
        <f>B7-E7</f>
        <v/>
      </c>
      <c r="G7" s="616">
        <f>(D7+E7+F7)/3</f>
        <v/>
      </c>
      <c r="H7" s="13" t="n"/>
      <c r="I7" s="336">
        <f>MAX(ABS(D7-E7),ABS(D7-F7),ABS(E7-F7))/G7</f>
        <v/>
      </c>
      <c r="J7" s="13" t="n"/>
      <c r="K7" s="337">
        <f>G7*10</f>
        <v/>
      </c>
      <c r="L7" s="36" t="n"/>
      <c r="M7" s="36" t="n"/>
      <c r="N7" s="13" t="n"/>
    </row>
    <row customFormat="1" customHeight="1" ht="30" r="8" s="617">
      <c r="A8" s="306" t="inlineStr">
        <is>
          <t>2. Motor Flux Value Calculation
    电动机磁通值计算</t>
        </is>
      </c>
      <c r="B8" s="36" t="n"/>
      <c r="C8" s="36" t="n"/>
      <c r="D8" s="36" t="n"/>
      <c r="E8" s="36" t="n"/>
      <c r="F8" s="36" t="n"/>
      <c r="G8" s="36" t="n"/>
      <c r="H8" s="36" t="n"/>
      <c r="I8" s="36" t="n"/>
      <c r="J8" s="36" t="n"/>
      <c r="K8" s="36" t="n"/>
      <c r="L8" s="36" t="n"/>
      <c r="M8" s="36" t="n"/>
      <c r="N8" s="36" t="n"/>
    </row>
    <row customFormat="1" customHeight="1" ht="30" r="9" s="618">
      <c r="A9" s="299" t="inlineStr">
        <is>
          <t>Motor Speed
电机速度</t>
        </is>
      </c>
      <c r="B9" s="13" t="n"/>
      <c r="C9" s="619" t="inlineStr">
        <is>
          <t>Motor Electrical Speed 
电机角速度ω</t>
        </is>
      </c>
      <c r="D9" s="13" t="n"/>
      <c r="E9" s="620" t="inlineStr">
        <is>
          <t>Neutral Voltage
中性电压[Vrms]</t>
        </is>
      </c>
      <c r="F9" s="36" t="n"/>
      <c r="G9" s="13" t="n"/>
      <c r="H9" s="621" t="inlineStr">
        <is>
          <t>Neutral Voltage
中性电压</t>
        </is>
      </c>
      <c r="I9" s="36" t="n"/>
      <c r="J9" s="620" t="inlineStr">
        <is>
          <t>Motor Flux
电机磁通</t>
        </is>
      </c>
      <c r="K9" s="36" t="n"/>
      <c r="L9" s="13" t="n"/>
      <c r="M9" s="299" t="inlineStr">
        <is>
          <t>Veh_Flux_EEPROM
(Wb)_x_1000</t>
        </is>
      </c>
      <c r="N9" s="25" t="n"/>
    </row>
    <row customFormat="1" customHeight="1" ht="20.1" r="10" s="618">
      <c r="A10" s="622" t="inlineStr">
        <is>
          <t>[rpm]</t>
        </is>
      </c>
      <c r="B10" s="36" t="n"/>
      <c r="C10" s="623" t="inlineStr">
        <is>
          <t>[rad/s]</t>
        </is>
      </c>
      <c r="D10" s="13" t="n"/>
      <c r="E10" s="624" t="inlineStr">
        <is>
          <t>Phase U</t>
        </is>
      </c>
      <c r="F10" s="624" t="inlineStr">
        <is>
          <t>Phase V</t>
        </is>
      </c>
      <c r="G10" s="324" t="inlineStr">
        <is>
          <t>Phase W</t>
        </is>
      </c>
      <c r="H10" s="624" t="inlineStr">
        <is>
          <t>Average [Vpeak]</t>
        </is>
      </c>
      <c r="I10" s="13" t="n"/>
      <c r="J10" s="624" t="inlineStr">
        <is>
          <t>[Wb]</t>
        </is>
      </c>
      <c r="K10" s="624" t="inlineStr">
        <is>
          <t>Average  [Wb]</t>
        </is>
      </c>
      <c r="L10" s="13" t="n"/>
      <c r="M10" s="27" t="n"/>
      <c r="N10" s="29" t="n"/>
    </row>
    <row customFormat="1" customHeight="1" ht="30" r="11" s="618">
      <c r="A11" s="310" t="n">
        <v>1000</v>
      </c>
      <c r="B11" s="13" t="n"/>
      <c r="C11" s="613">
        <f>A11*2*PI()*'DUT Description'!D8/60/2</f>
        <v/>
      </c>
      <c r="D11" s="13" t="n"/>
      <c r="E11" s="625">
        <f>'4.Motor BEMF'!E14</f>
        <v/>
      </c>
      <c r="F11" s="626">
        <f>'4.Motor BEMF'!E15</f>
        <v/>
      </c>
      <c r="G11" s="626">
        <f>'4.Motor BEMF'!E16</f>
        <v/>
      </c>
      <c r="H11" s="627">
        <f>AVERAGE(E11:G11)*SQRT(2)</f>
        <v/>
      </c>
      <c r="I11" s="13" t="n"/>
      <c r="J11" s="628">
        <f>H11/C11</f>
        <v/>
      </c>
      <c r="K11" s="626">
        <f>AVERAGE(J11:J14)</f>
        <v/>
      </c>
      <c r="L11" s="25" t="n"/>
      <c r="M11" s="345">
        <f>K11*1000</f>
        <v/>
      </c>
      <c r="N11" s="25" t="n"/>
    </row>
    <row customFormat="1" customHeight="1" ht="30" r="12" s="618">
      <c r="A12" s="310" t="n">
        <v>2000</v>
      </c>
      <c r="B12" s="13" t="n"/>
      <c r="C12" s="613">
        <f>A12*2*PI()*'DUT Description'!D8/60/2</f>
        <v/>
      </c>
      <c r="D12" s="13" t="n"/>
      <c r="E12" s="625">
        <f>'4.Motor BEMF'!F14</f>
        <v/>
      </c>
      <c r="F12" s="626">
        <f>'4.Motor BEMF'!F15</f>
        <v/>
      </c>
      <c r="G12" s="626">
        <f>'4.Motor BEMF'!F16</f>
        <v/>
      </c>
      <c r="H12" s="627">
        <f>AVERAGE(E12:G12)*SQRT(2)</f>
        <v/>
      </c>
      <c r="I12" s="13" t="n"/>
      <c r="J12" s="628">
        <f>H12/C12</f>
        <v/>
      </c>
      <c r="K12" s="75" t="n"/>
      <c r="L12" s="76" t="n"/>
      <c r="M12" s="75" t="n"/>
      <c r="N12" s="76" t="n"/>
    </row>
    <row customFormat="1" customHeight="1" ht="30" r="13" s="618">
      <c r="A13" s="310" t="n">
        <v>3000</v>
      </c>
      <c r="B13" s="13" t="n"/>
      <c r="C13" s="613">
        <f>A13*2*PI()*'DUT Description'!D8/60/2</f>
        <v/>
      </c>
      <c r="D13" s="13" t="n"/>
      <c r="E13" s="625">
        <f>'4.Motor BEMF'!G14</f>
        <v/>
      </c>
      <c r="F13" s="626">
        <f>'4.Motor BEMF'!G15</f>
        <v/>
      </c>
      <c r="G13" s="626">
        <f>'4.Motor BEMF'!G16</f>
        <v/>
      </c>
      <c r="H13" s="627">
        <f>AVERAGE(E13:G13)*SQRT(2)</f>
        <v/>
      </c>
      <c r="I13" s="13" t="n"/>
      <c r="J13" s="628">
        <f>H13/C13</f>
        <v/>
      </c>
      <c r="K13" s="75" t="n"/>
      <c r="L13" s="76" t="n"/>
      <c r="M13" s="75" t="n"/>
      <c r="N13" s="76" t="n"/>
    </row>
    <row customFormat="1" customHeight="1" ht="30" r="14" s="618">
      <c r="A14" s="310" t="n">
        <v>4000</v>
      </c>
      <c r="B14" s="13" t="n"/>
      <c r="C14" s="613">
        <f>A14*2*PI()*'DUT Description'!D8/60/2</f>
        <v/>
      </c>
      <c r="D14" s="13" t="n"/>
      <c r="E14" s="625">
        <f>'4.Motor BEMF'!H14</f>
        <v/>
      </c>
      <c r="F14" s="626">
        <f>'4.Motor BEMF'!H15</f>
        <v/>
      </c>
      <c r="G14" s="626">
        <f>'4.Motor BEMF'!H16</f>
        <v/>
      </c>
      <c r="H14" s="627">
        <f>AVERAGE(E14:G14)*SQRT(2)</f>
        <v/>
      </c>
      <c r="I14" s="13" t="n"/>
      <c r="J14" s="628">
        <f>H14/C14</f>
        <v/>
      </c>
      <c r="K14" s="27" t="n"/>
      <c r="L14" s="29" t="n"/>
      <c r="M14" s="27" t="n"/>
      <c r="N14" s="29" t="n"/>
    </row>
    <row customFormat="1" customHeight="1" ht="30" r="15" s="617">
      <c r="A15" s="49" t="inlineStr">
        <is>
          <t>3. Motor Inductance Calculation
    电机电感计算</t>
        </is>
      </c>
      <c r="B15" s="36" t="n"/>
      <c r="C15" s="36" t="n"/>
      <c r="D15" s="36" t="n"/>
      <c r="E15" s="36" t="n"/>
      <c r="F15" s="36" t="n"/>
      <c r="G15" s="36" t="n"/>
      <c r="H15" s="36" t="n"/>
      <c r="I15" s="36" t="n"/>
      <c r="J15" s="36" t="n"/>
      <c r="K15" s="36" t="n"/>
      <c r="L15" s="36" t="n"/>
      <c r="M15" s="36" t="n"/>
      <c r="N15" s="13" t="n"/>
    </row>
    <row customFormat="1" customHeight="1" ht="30" r="16" s="618">
      <c r="A16" s="299" t="inlineStr">
        <is>
          <t>Motor Speed
电机速度</t>
        </is>
      </c>
      <c r="B16" s="13" t="n"/>
      <c r="C16" s="619" t="inlineStr">
        <is>
          <t>Motor Electrical Speed 
电机角速度ω</t>
        </is>
      </c>
      <c r="D16" s="13" t="n"/>
      <c r="E16" s="620" t="inlineStr">
        <is>
          <t>Current
电流 [Arms]</t>
        </is>
      </c>
      <c r="F16" s="36" t="n"/>
      <c r="G16" s="13" t="n"/>
      <c r="H16" s="629" t="inlineStr">
        <is>
          <t>Inductance [H]
电感</t>
        </is>
      </c>
      <c r="I16" s="36" t="n"/>
      <c r="J16" s="36" t="n"/>
      <c r="K16" s="13" t="n"/>
      <c r="L16" s="620" t="inlineStr">
        <is>
          <t>Deviation
偏差</t>
        </is>
      </c>
      <c r="M16" s="630" t="inlineStr">
        <is>
          <t>Ld_Lq_Const_EEPROM
(uH)</t>
        </is>
      </c>
      <c r="N16" s="25" t="n"/>
    </row>
    <row customFormat="1" customHeight="1" ht="20.1" r="17" s="618">
      <c r="A17" s="623" t="inlineStr">
        <is>
          <t>[rpm]</t>
        </is>
      </c>
      <c r="B17" s="13" t="n"/>
      <c r="C17" s="623" t="inlineStr">
        <is>
          <t>[rad/s]</t>
        </is>
      </c>
      <c r="D17" s="13" t="n"/>
      <c r="E17" s="624" t="inlineStr">
        <is>
          <t>Phase U</t>
        </is>
      </c>
      <c r="F17" s="624" t="inlineStr">
        <is>
          <t>Phase V</t>
        </is>
      </c>
      <c r="G17" s="324" t="inlineStr">
        <is>
          <t>Phase W</t>
        </is>
      </c>
      <c r="H17" s="631" t="inlineStr">
        <is>
          <t>Phase U</t>
        </is>
      </c>
      <c r="I17" s="631" t="inlineStr">
        <is>
          <t>Phase V</t>
        </is>
      </c>
      <c r="J17" s="338" t="inlineStr">
        <is>
          <t>Phase W</t>
        </is>
      </c>
      <c r="K17" s="624" t="inlineStr">
        <is>
          <t>Average</t>
        </is>
      </c>
      <c r="L17" s="30" t="n"/>
      <c r="M17" s="27" t="n"/>
      <c r="N17" s="29" t="n"/>
    </row>
    <row customFormat="1" customHeight="1" ht="30" r="18" s="618">
      <c r="A18" s="310" t="n">
        <v>1000</v>
      </c>
      <c r="B18" s="13" t="n"/>
      <c r="C18" s="613">
        <f>A18*2*PI()*'DUT Description'!D8/60/2</f>
        <v/>
      </c>
      <c r="D18" s="13" t="n"/>
      <c r="E18" s="119">
        <f ref="E18:E21" t="array">TRANSPOSE('5. Short circuit'!J10:M10)</f>
        <v/>
      </c>
      <c r="F18" s="119">
        <f ref="F18:F21" t="array">TRANSPOSE('5. Short circuit'!J12:M12)</f>
        <v/>
      </c>
      <c r="G18" s="119">
        <f ref="G18:G21" t="array">TRANSPOSE('5. Short circuit'!J14:M14)</f>
        <v/>
      </c>
      <c r="H18" s="632">
        <f>1/C18*SQRT((E11/E18)^2-(D7/1000)^2)</f>
        <v/>
      </c>
      <c r="I18" s="632">
        <f>1/C18*SQRT((F11/F18)^2-(E7/1000)^2)</f>
        <v/>
      </c>
      <c r="J18" s="632">
        <f>1/C18*SQRT((G11/G18)^2-(F7/1000)^2)</f>
        <v/>
      </c>
      <c r="K18" s="633">
        <f>AVERAGE(H18:J18)</f>
        <v/>
      </c>
      <c r="L18" s="634">
        <f>MAX(ABS(H18-I18),ABS(H18-J18),ABS(I18-J18))/K18</f>
        <v/>
      </c>
      <c r="M18" s="345">
        <f>AVERAGE(K18:K21)*1000000</f>
        <v/>
      </c>
      <c r="N18" s="25" t="n"/>
    </row>
    <row customFormat="1" customHeight="1" ht="30" r="19" s="618">
      <c r="A19" s="310" t="n">
        <v>2000</v>
      </c>
      <c r="B19" s="13" t="n"/>
      <c r="C19" s="613">
        <f>A19*2*PI()*'DUT Description'!D8/60/2</f>
        <v/>
      </c>
      <c r="D19" s="13" t="n"/>
      <c r="E19" s="119" t="n">
        <v>0</v>
      </c>
      <c r="F19" s="119" t="n">
        <v>0</v>
      </c>
      <c r="G19" s="119" t="n">
        <v>0</v>
      </c>
      <c r="H19" s="635">
        <f>1/C19*SQRT((E12/E19)^2-(D7/1000)^2)</f>
        <v/>
      </c>
      <c r="I19" s="632">
        <f>1/C19*SQRT((F12/F19)^2-(E7/1000)^2)</f>
        <v/>
      </c>
      <c r="J19" s="632">
        <f>1/C19*SQRT((G12/G19)^2-(F7/1000)^2)</f>
        <v/>
      </c>
      <c r="K19" s="633">
        <f>AVERAGE(H19:J19)</f>
        <v/>
      </c>
      <c r="L19" s="634">
        <f>MAX(ABS(H19-I19),ABS(H19-J19),ABS(I19-J19))/K19</f>
        <v/>
      </c>
      <c r="M19" s="75" t="n"/>
      <c r="N19" s="76" t="n"/>
    </row>
    <row customFormat="1" customHeight="1" ht="30" r="20" s="618">
      <c r="A20" s="310" t="n">
        <v>3000</v>
      </c>
      <c r="B20" s="13" t="n"/>
      <c r="C20" s="613">
        <f>A20*2*PI()*'DUT Description'!D8/60/2</f>
        <v/>
      </c>
      <c r="D20" s="13" t="n"/>
      <c r="E20" s="119" t="n">
        <v>0</v>
      </c>
      <c r="F20" s="119" t="n">
        <v>0</v>
      </c>
      <c r="G20" s="119" t="n">
        <v>0</v>
      </c>
      <c r="H20" s="635">
        <f>1/C20*SQRT((E13/E20)^2-(D7/1000)^2)</f>
        <v/>
      </c>
      <c r="I20" s="632">
        <f>1/C20*SQRT((F13/F20)^2-(E7/1000)^2)</f>
        <v/>
      </c>
      <c r="J20" s="632">
        <f>1/C20*SQRT((G13/G20)^2-(F7/1000)^2)</f>
        <v/>
      </c>
      <c r="K20" s="633">
        <f>AVERAGE(H20:J20)</f>
        <v/>
      </c>
      <c r="L20" s="634">
        <f>MAX(ABS(H20-I20),ABS(H20-J20),ABS(I20-J20))/K20</f>
        <v/>
      </c>
      <c r="M20" s="75" t="n"/>
      <c r="N20" s="76" t="n"/>
    </row>
    <row customFormat="1" customHeight="1" ht="30" r="21" s="618">
      <c r="A21" s="310" t="n">
        <v>4000</v>
      </c>
      <c r="B21" s="13" t="n"/>
      <c r="C21" s="613">
        <f>A21*2*PI()*'DUT Description'!D8/60/2</f>
        <v/>
      </c>
      <c r="D21" s="13" t="n"/>
      <c r="E21" s="119" t="n">
        <v>0</v>
      </c>
      <c r="F21" s="119" t="n">
        <v>0</v>
      </c>
      <c r="G21" s="119" t="n">
        <v>0</v>
      </c>
      <c r="H21" s="635">
        <f>1/C21*SQRT((E14/E21)^2-(D7/1000)^2)</f>
        <v/>
      </c>
      <c r="I21" s="632">
        <f>1/C21*SQRT((F14/F21)^2-(E7/1000)^2)</f>
        <v/>
      </c>
      <c r="J21" s="632">
        <f>1/C21*SQRT((G14/G21)^2-(F7/1000)^2)</f>
        <v/>
      </c>
      <c r="K21" s="633">
        <f>AVERAGE(H21:J21)</f>
        <v/>
      </c>
      <c r="L21" s="634">
        <f>MAX(ABS(H21-I21),ABS(H21-J21),ABS(I21-J21))/K21</f>
        <v/>
      </c>
      <c r="M21" s="27" t="n"/>
      <c r="N21" s="29" t="n"/>
    </row>
    <row customFormat="1" customHeight="1" ht="30" r="22" s="618">
      <c r="A22" s="311" t="inlineStr">
        <is>
          <t>4. Kp &amp; Ki parameters for Id &amp; Iq Current Regulators
逆变器有功电流和无功电流的比例增益Kp和积分增益Ki 电流监管</t>
        </is>
      </c>
      <c r="B22" s="24" t="n"/>
      <c r="C22" s="24" t="n"/>
      <c r="D22" s="24" t="n"/>
      <c r="E22" s="24" t="n"/>
      <c r="F22" s="24" t="n"/>
      <c r="G22" s="24" t="n"/>
      <c r="H22" s="24" t="n"/>
      <c r="I22" s="24" t="n"/>
      <c r="J22" s="24" t="n"/>
      <c r="K22" s="24" t="n"/>
      <c r="L22" s="24" t="n"/>
      <c r="M22" s="24" t="n"/>
      <c r="N22" s="24" t="n"/>
    </row>
    <row customFormat="1" customHeight="1" ht="30" r="23" s="618">
      <c r="A23" s="312" t="inlineStr">
        <is>
          <t>W1</t>
        </is>
      </c>
      <c r="B23" s="13" t="n"/>
      <c r="C23" s="313" t="inlineStr">
        <is>
          <t>V_Base_EEPROM_
(Volts)</t>
        </is>
      </c>
      <c r="D23" s="13" t="n"/>
      <c r="E23" s="299" t="inlineStr">
        <is>
          <t>I_Base_EEPROM_
(Amps)</t>
        </is>
      </c>
      <c r="F23" s="13" t="n"/>
      <c r="G23" s="332" t="inlineStr">
        <is>
          <t>Kp</t>
        </is>
      </c>
      <c r="H23" s="13" t="n"/>
      <c r="I23" s="332" t="inlineStr">
        <is>
          <t>Ki</t>
        </is>
      </c>
      <c r="J23" s="13" t="n"/>
      <c r="K23" s="299" t="inlineStr">
        <is>
          <t>Kp_Current_EEPROM_
x_1000</t>
        </is>
      </c>
      <c r="L23" s="13" t="n"/>
      <c r="M23" s="636" t="inlineStr">
        <is>
          <t>Ki_Current_EEPROM_
x_10000</t>
        </is>
      </c>
      <c r="N23" s="13" t="n"/>
      <c r="O23" s="637" t="n"/>
      <c r="P23" s="638" t="n"/>
      <c r="Q23" s="638" t="n"/>
    </row>
    <row customFormat="1" customHeight="1" ht="30" r="24" s="618">
      <c r="A24" s="628">
        <f>(K7/10000)/(M18/1000000)</f>
        <v/>
      </c>
      <c r="B24" s="13" t="n"/>
      <c r="C24" s="315" t="n">
        <v>200</v>
      </c>
      <c r="D24" s="13" t="n"/>
      <c r="E24" s="315" t="n">
        <v>300</v>
      </c>
      <c r="F24" s="13" t="n"/>
      <c r="G24" s="628">
        <f>(M18/1000000)*A24/(C24/E24)</f>
        <v/>
      </c>
      <c r="H24" s="13" t="n"/>
      <c r="I24" s="639">
        <f>G24*A24/12000</f>
        <v/>
      </c>
      <c r="J24" s="13" t="n"/>
      <c r="K24" s="342">
        <f>G24*1000</f>
        <v/>
      </c>
      <c r="L24" s="13" t="n"/>
      <c r="M24" s="342">
        <f>I24*10000</f>
        <v/>
      </c>
      <c r="N24" s="13" t="n"/>
      <c r="O24" s="637" t="n"/>
      <c r="P24" s="638" t="n"/>
      <c r="Q24" s="638" t="n"/>
    </row>
    <row customFormat="1" customHeight="1" ht="30" r="25" s="618">
      <c r="A25" s="49" t="inlineStr">
        <is>
          <t>5. Resolver Calibration
旋变标定</t>
        </is>
      </c>
      <c r="B25" s="36" t="n"/>
      <c r="C25" s="36" t="n"/>
      <c r="D25" s="36" t="n"/>
      <c r="E25" s="36" t="n"/>
      <c r="F25" s="36" t="n"/>
      <c r="G25" s="36" t="n"/>
      <c r="H25" s="36" t="n"/>
      <c r="I25" s="36" t="n"/>
      <c r="J25" s="36" t="n"/>
      <c r="K25" s="36" t="n"/>
      <c r="L25" s="36" t="n"/>
      <c r="M25" s="36" t="n"/>
      <c r="N25" s="13" t="n"/>
      <c r="O25" s="640" t="n"/>
      <c r="P25" s="640" t="n"/>
      <c r="Q25" s="640" t="n"/>
    </row>
    <row customFormat="1" customHeight="1" ht="30" r="26" s="618">
      <c r="A26" s="306" t="inlineStr">
        <is>
          <t>RMS Resolver Calibration Process
RMS 旋变标定流程</t>
        </is>
      </c>
      <c r="B26" s="24" t="n"/>
      <c r="C26" s="316" t="inlineStr">
        <is>
          <t>Remy Speed</t>
        </is>
      </c>
      <c r="D26" s="316" t="inlineStr">
        <is>
          <t>Feedback speed</t>
        </is>
      </c>
      <c r="E26" s="636" t="inlineStr">
        <is>
          <t>Voltage_Feedback Speed</t>
        </is>
      </c>
      <c r="F26" s="13" t="n"/>
      <c r="G26" s="641" t="inlineStr">
        <is>
          <t>Delta_Resolver_In_Fil
_(DEG_x_10)</t>
        </is>
      </c>
      <c r="H26" s="25" t="n"/>
      <c r="I26" s="642" t="inlineStr">
        <is>
          <t>Delta_Resolver_In_Fil
_at_1000RPM</t>
        </is>
      </c>
      <c r="J26" s="25" t="n"/>
      <c r="K26" s="344" t="inlineStr">
        <is>
          <t>Gamma_Adjust_(Deg)
_x_10_Before</t>
        </is>
      </c>
      <c r="L26" s="25" t="n"/>
      <c r="M26" s="350" t="inlineStr">
        <is>
          <t>Gamma_Adjust_(Deg)
_x_10_updated</t>
        </is>
      </c>
      <c r="N26" s="24" t="n"/>
    </row>
    <row customFormat="1" customHeight="1" ht="20.1" r="27" s="618">
      <c r="A27" s="27" t="n"/>
      <c r="B27" s="28" t="n"/>
      <c r="C27" s="317" t="inlineStr">
        <is>
          <t>[rpm]</t>
        </is>
      </c>
      <c r="D27" s="317" t="inlineStr">
        <is>
          <t>[rpm]</t>
        </is>
      </c>
      <c r="E27" s="317" t="inlineStr">
        <is>
          <t>[rpm]</t>
        </is>
      </c>
      <c r="F27" s="13" t="n"/>
      <c r="G27" s="75" t="n"/>
      <c r="H27" s="76" t="n"/>
      <c r="I27" s="75" t="n"/>
      <c r="J27" s="76" t="n"/>
      <c r="K27" s="75" t="n"/>
      <c r="L27" s="76" t="n"/>
      <c r="M27" s="75" t="n"/>
      <c r="P27" s="97" t="n"/>
    </row>
    <row customFormat="1" customHeight="1" ht="30" r="28" s="618">
      <c r="A28" s="313" t="inlineStr">
        <is>
          <t>Positive Value
正转参数</t>
        </is>
      </c>
      <c r="B28" s="13" t="n"/>
      <c r="C28" s="318" t="n">
        <v>1000</v>
      </c>
      <c r="D28" s="318" t="n">
        <v>1000</v>
      </c>
      <c r="E28" s="318" t="n">
        <v>1000</v>
      </c>
      <c r="F28" s="13" t="n"/>
      <c r="G28" s="643" t="n"/>
      <c r="H28" s="13" t="n"/>
      <c r="I28" s="643" t="n"/>
      <c r="J28" s="13" t="n"/>
      <c r="K28" s="643" t="n"/>
      <c r="L28" s="13" t="n"/>
      <c r="M28" s="626">
        <f>(K28/10-(90-G28/10))*10</f>
        <v/>
      </c>
      <c r="N28" s="13" t="n"/>
    </row>
    <row customFormat="1" customHeight="1" ht="30" r="29" s="296">
      <c r="A29" s="49" t="inlineStr">
        <is>
          <t>Negative Value
反转参数</t>
        </is>
      </c>
      <c r="B29" s="13" t="n"/>
      <c r="C29" s="318" t="n">
        <v>1000</v>
      </c>
      <c r="D29" s="318" t="n">
        <v>-1000</v>
      </c>
      <c r="E29" s="318" t="n">
        <v>-1000</v>
      </c>
      <c r="F29" s="13" t="n"/>
      <c r="G29" s="643" t="n"/>
      <c r="H29" s="13" t="n"/>
      <c r="I29" s="643" t="n"/>
      <c r="J29" s="13" t="n"/>
      <c r="K29" s="643" t="n"/>
      <c r="L29" s="13" t="n"/>
      <c r="M29" s="644">
        <f>(K29/10-(-90-G29/10))*10</f>
        <v/>
      </c>
      <c r="N29" s="13" t="n"/>
    </row>
    <row customFormat="1" customHeight="1" ht="30" r="30" s="45">
      <c r="A30" s="53" t="n"/>
      <c r="B30" s="54" t="inlineStr">
        <is>
          <t>Automatic calculate
自动计算</t>
        </is>
      </c>
      <c r="E30" s="183" t="n"/>
      <c r="H30" s="2" t="n"/>
    </row>
    <row customFormat="1" customHeight="1" ht="20.1" r="31" s="45">
      <c r="B31" s="2" t="n"/>
    </row>
    <row customFormat="1" customHeight="1" ht="20.1" r="32" s="45">
      <c r="B32" s="2" t="n"/>
    </row>
    <row customFormat="1" customHeight="1" ht="20.1" r="33" s="45">
      <c r="B33" s="2" t="n"/>
    </row>
    <row customFormat="1" customHeight="1" ht="20.1" r="34" s="45">
      <c r="B34" s="2" t="n"/>
    </row>
    <row customFormat="1" customHeight="1" ht="20.1" r="35" s="45">
      <c r="B35" s="2" t="n"/>
    </row>
    <row customFormat="1" r="36" s="45">
      <c r="B36" s="2" t="n"/>
    </row>
    <row customFormat="1" r="37" s="45">
      <c r="B37" s="2" t="n"/>
    </row>
  </sheetData>
  <mergeCells count="92">
    <mergeCell ref="C1:N1"/>
    <mergeCell ref="C2:N2"/>
    <mergeCell ref="A3:N3"/>
    <mergeCell ref="A4:N4"/>
    <mergeCell ref="A5:C5"/>
    <mergeCell ref="D5:F5"/>
    <mergeCell ref="G7:H7"/>
    <mergeCell ref="I7:J7"/>
    <mergeCell ref="K7:N7"/>
    <mergeCell ref="A8:N8"/>
    <mergeCell ref="A9:B9"/>
    <mergeCell ref="C9:D9"/>
    <mergeCell ref="E9:G9"/>
    <mergeCell ref="H9:I9"/>
    <mergeCell ref="J9:L9"/>
    <mergeCell ref="A10:B10"/>
    <mergeCell ref="C10:D10"/>
    <mergeCell ref="H10:I10"/>
    <mergeCell ref="K10:L10"/>
    <mergeCell ref="A11:B11"/>
    <mergeCell ref="C11:D11"/>
    <mergeCell ref="H11:I11"/>
    <mergeCell ref="A12:B12"/>
    <mergeCell ref="C12:D12"/>
    <mergeCell ref="H12:I12"/>
    <mergeCell ref="A13:B13"/>
    <mergeCell ref="C13:D13"/>
    <mergeCell ref="H13:I13"/>
    <mergeCell ref="A14:B14"/>
    <mergeCell ref="C14:D14"/>
    <mergeCell ref="H14:I14"/>
    <mergeCell ref="A15:N15"/>
    <mergeCell ref="A16:B16"/>
    <mergeCell ref="C16:D16"/>
    <mergeCell ref="E16:G16"/>
    <mergeCell ref="H16:K16"/>
    <mergeCell ref="A17:B17"/>
    <mergeCell ref="C17:D17"/>
    <mergeCell ref="A18:B18"/>
    <mergeCell ref="C18:D18"/>
    <mergeCell ref="A19:B19"/>
    <mergeCell ref="C19:D19"/>
    <mergeCell ref="A20:B20"/>
    <mergeCell ref="C20:D20"/>
    <mergeCell ref="A21:B21"/>
    <mergeCell ref="C21:D21"/>
    <mergeCell ref="A22:N22"/>
    <mergeCell ref="A23:B23"/>
    <mergeCell ref="C23:D23"/>
    <mergeCell ref="E23:F23"/>
    <mergeCell ref="G23:H23"/>
    <mergeCell ref="I23:J23"/>
    <mergeCell ref="K23:L23"/>
    <mergeCell ref="M23:N23"/>
    <mergeCell ref="A24:B24"/>
    <mergeCell ref="C24:D24"/>
    <mergeCell ref="E24:F24"/>
    <mergeCell ref="G24:H24"/>
    <mergeCell ref="I24:J24"/>
    <mergeCell ref="K24:L24"/>
    <mergeCell ref="M24:N24"/>
    <mergeCell ref="A25:N25"/>
    <mergeCell ref="E26:F26"/>
    <mergeCell ref="E27:F27"/>
    <mergeCell ref="A28:B28"/>
    <mergeCell ref="E28:F28"/>
    <mergeCell ref="G28:H28"/>
    <mergeCell ref="I28:J28"/>
    <mergeCell ref="K28:L28"/>
    <mergeCell ref="M28:N28"/>
    <mergeCell ref="A29:B29"/>
    <mergeCell ref="E29:F29"/>
    <mergeCell ref="G29:H29"/>
    <mergeCell ref="I29:J29"/>
    <mergeCell ref="K29:L29"/>
    <mergeCell ref="M29:N29"/>
    <mergeCell ref="B30:D30"/>
    <mergeCell ref="L16:L17"/>
    <mergeCell ref="M16:N17"/>
    <mergeCell ref="M18:N21"/>
    <mergeCell ref="A1:B2"/>
    <mergeCell ref="K5:N6"/>
    <mergeCell ref="G5:H6"/>
    <mergeCell ref="I5:J6"/>
    <mergeCell ref="M9:N10"/>
    <mergeCell ref="K11:L14"/>
    <mergeCell ref="M11:N14"/>
    <mergeCell ref="A26:B27"/>
    <mergeCell ref="G26:H27"/>
    <mergeCell ref="I26:J27"/>
    <mergeCell ref="K26:L27"/>
    <mergeCell ref="M26:N27"/>
  </mergeCells>
  <dataValidations count="1">
    <dataValidation allowBlank="0" showErrorMessage="1" showInputMessage="1" sqref="C28:F29" type="list">
      <formula1>"1000,-1000"</formula1>
    </dataValidation>
  </dataValidations>
  <pageMargins bottom="0.3" footer="0.3" header="0.3" left="0.3" right="0.3" top="0.3"/>
  <pageSetup orientation="landscape"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21"/>
  <sheetViews>
    <sheetView showGridLines="0" topLeftCell="A7" workbookViewId="0" zoomScale="85" zoomScaleNormal="85">
      <selection activeCell="Q11" sqref="Q11"/>
    </sheetView>
  </sheetViews>
  <sheetFormatPr baseColWidth="8" defaultColWidth="9.14423076923077" defaultRowHeight="16.8"/>
  <cols>
    <col customWidth="1" max="1" min="1" style="2" width="10.5673076923077"/>
    <col customWidth="1" max="2" min="2" style="2" width="9.56730769230769"/>
    <col customWidth="1" max="3" min="3" style="2" width="10.5673076923077"/>
    <col customWidth="1" max="4" min="4" style="2" width="9.56730769230769"/>
    <col customWidth="1" max="5" min="5" style="2" width="13.1442307692308"/>
    <col customWidth="1" max="10" min="6" style="2" width="11.4230769230769"/>
    <col customWidth="1" max="16384" min="11" style="2" width="9.14423076923077"/>
  </cols>
  <sheetData>
    <row customHeight="1" ht="30" r="1">
      <c r="A1" s="201" t="n"/>
      <c r="B1" s="202" t="n"/>
      <c r="C1" s="6" t="inlineStr">
        <is>
          <t>PRODUCT ACCEPTANCE TEST - Torque VS Phase Current</t>
        </is>
      </c>
      <c r="D1" s="24" t="n"/>
      <c r="E1" s="24" t="n"/>
      <c r="F1" s="24" t="n"/>
      <c r="G1" s="24" t="n"/>
      <c r="H1" s="24" t="n"/>
      <c r="I1" s="24" t="n"/>
      <c r="J1" s="24" t="n"/>
      <c r="K1" s="24" t="n"/>
      <c r="L1" s="24" t="n"/>
      <c r="M1" s="24" t="n"/>
      <c r="N1" s="25" t="n"/>
    </row>
    <row customHeight="1" ht="30" r="2">
      <c r="A2" s="203" t="n"/>
      <c r="B2" s="28" t="n"/>
      <c r="C2" s="10">
        <f>'DUT Description'!C6&amp;" - "&amp;'DUT Description'!D6</f>
        <v/>
      </c>
      <c r="D2" s="28" t="n"/>
      <c r="E2" s="28" t="n"/>
      <c r="F2" s="28" t="n"/>
      <c r="G2" s="28" t="n"/>
      <c r="H2" s="28" t="n"/>
      <c r="I2" s="28" t="n"/>
      <c r="J2" s="28" t="n"/>
      <c r="K2" s="28" t="n"/>
      <c r="L2" s="28" t="n"/>
      <c r="M2" s="28" t="n"/>
      <c r="N2" s="29" t="n"/>
    </row>
    <row customHeight="1" ht="30" r="3">
      <c r="A3" s="49" t="inlineStr">
        <is>
          <t>Coollant and Test Room Environment 
冷却系统和测试环境</t>
        </is>
      </c>
      <c r="B3" s="36" t="n"/>
      <c r="C3" s="36" t="n"/>
      <c r="D3" s="36" t="n"/>
      <c r="E3" s="36" t="n"/>
      <c r="F3" s="36" t="n"/>
      <c r="G3" s="36" t="n"/>
      <c r="H3" s="36" t="n"/>
      <c r="I3" s="36" t="n"/>
      <c r="J3" s="36" t="n"/>
      <c r="K3" s="36" t="n"/>
      <c r="L3" s="36" t="n"/>
      <c r="M3" s="36" t="n"/>
      <c r="N3" s="13" t="n"/>
    </row>
    <row customFormat="1" customHeight="1" ht="30" r="4" s="45">
      <c r="A4" s="205" t="inlineStr">
        <is>
          <t>D.U.T. Control Mode
被测电机控制模式</t>
        </is>
      </c>
      <c r="B4" s="25" t="n"/>
      <c r="C4" s="205" t="inlineStr">
        <is>
          <t>Rotating Direction
运转方向</t>
        </is>
      </c>
      <c r="D4" s="25" t="n"/>
      <c r="E4" s="205" t="inlineStr">
        <is>
          <t>DC BUS Voltage
直流电压</t>
        </is>
      </c>
      <c r="F4" s="13" t="n"/>
      <c r="G4" s="49" t="inlineStr">
        <is>
          <t>Speed Set Point
速度设定点</t>
        </is>
      </c>
      <c r="H4" s="13" t="n"/>
      <c r="I4" s="49" t="inlineStr">
        <is>
          <t>Coolant Temperature
冷却介质温度</t>
        </is>
      </c>
      <c r="J4" s="13" t="n"/>
      <c r="K4" s="49" t="inlineStr">
        <is>
          <t>Winding Temp. Range
绕线温度目标范围</t>
        </is>
      </c>
      <c r="L4" s="13" t="n"/>
      <c r="M4" s="49" t="inlineStr">
        <is>
          <t>RT
室温</t>
        </is>
      </c>
      <c r="N4" s="226" t="inlineStr">
        <is>
          <t>RH
湿度</t>
        </is>
      </c>
    </row>
    <row customFormat="1" customHeight="1" ht="20.1" r="5" s="45">
      <c r="A5" s="27" t="n"/>
      <c r="B5" s="29" t="n"/>
      <c r="C5" s="27" t="n"/>
      <c r="D5" s="29" t="n"/>
      <c r="E5" s="205" t="inlineStr">
        <is>
          <t>[VDC]</t>
        </is>
      </c>
      <c r="F5" s="13" t="n"/>
      <c r="G5" s="49" t="inlineStr">
        <is>
          <t>[rpm]</t>
        </is>
      </c>
      <c r="H5" s="13" t="n"/>
      <c r="I5" s="49" t="inlineStr">
        <is>
          <t>[°C]</t>
        </is>
      </c>
      <c r="J5" s="13" t="n"/>
      <c r="K5" s="276" t="inlineStr">
        <is>
          <t>[°C]</t>
        </is>
      </c>
      <c r="L5" s="13" t="n"/>
      <c r="M5" s="276" t="inlineStr">
        <is>
          <t>[°C]</t>
        </is>
      </c>
      <c r="N5" s="228" t="inlineStr">
        <is>
          <t>[%]</t>
        </is>
      </c>
    </row>
    <row customHeight="1" ht="30" r="6">
      <c r="A6" s="206" t="inlineStr">
        <is>
          <t>Traction &amp; Torque扭矩（主转状态）</t>
        </is>
      </c>
      <c r="B6" s="13" t="n"/>
      <c r="C6" s="57" t="inlineStr">
        <is>
          <t>Positive正转</t>
        </is>
      </c>
      <c r="D6" s="13" t="n"/>
      <c r="E6" s="61" t="n">
        <v>600</v>
      </c>
      <c r="F6" s="13" t="n"/>
      <c r="G6" s="218" t="n">
        <v>500</v>
      </c>
      <c r="H6" s="13" t="n"/>
      <c r="I6" s="218" t="n">
        <v>55</v>
      </c>
      <c r="J6" s="13" t="n"/>
      <c r="K6" s="218" t="inlineStr">
        <is>
          <t>55 -120</t>
        </is>
      </c>
      <c r="L6" s="13" t="n"/>
      <c r="M6" s="280">
        <f>'DUT Description'!C4</f>
        <v/>
      </c>
      <c r="N6" s="281">
        <f>'DUT Description'!D4</f>
        <v/>
      </c>
    </row>
    <row customHeight="1" ht="30" r="7">
      <c r="A7" s="226" t="inlineStr">
        <is>
          <t>Item 7. Motor Torque vs. Phase Current Mensurement
              电机扭矩VS 相电流测量</t>
        </is>
      </c>
      <c r="B7" s="36" t="n"/>
      <c r="C7" s="36" t="n"/>
      <c r="D7" s="36" t="n"/>
      <c r="E7" s="36" t="n"/>
      <c r="F7" s="36" t="n"/>
      <c r="G7" s="36" t="n"/>
      <c r="H7" s="36" t="n"/>
      <c r="I7" s="36" t="n"/>
      <c r="J7" s="36" t="n"/>
      <c r="K7" s="36" t="n"/>
      <c r="L7" s="36" t="n"/>
      <c r="M7" s="36" t="n"/>
      <c r="N7" s="242" t="n"/>
    </row>
    <row customHeight="1" ht="30" r="8">
      <c r="A8" s="259" t="inlineStr">
        <is>
          <t>Description</t>
        </is>
      </c>
      <c r="D8" s="260" t="n"/>
      <c r="E8" s="267" t="inlineStr">
        <is>
          <t>Data 1</t>
        </is>
      </c>
      <c r="F8" s="267" t="inlineStr">
        <is>
          <t>Data 2</t>
        </is>
      </c>
      <c r="G8" s="267" t="inlineStr">
        <is>
          <t>Data 3</t>
        </is>
      </c>
      <c r="H8" s="267" t="inlineStr">
        <is>
          <t>Data 4</t>
        </is>
      </c>
      <c r="I8" s="267" t="inlineStr">
        <is>
          <t>Data 5</t>
        </is>
      </c>
      <c r="J8" s="267" t="inlineStr">
        <is>
          <t>Data 6</t>
        </is>
      </c>
      <c r="K8" s="277" t="inlineStr">
        <is>
          <t>Data 7</t>
        </is>
      </c>
      <c r="L8" s="277" t="inlineStr">
        <is>
          <t>Data 8</t>
        </is>
      </c>
      <c r="M8" s="277" t="inlineStr">
        <is>
          <t>Data 9</t>
        </is>
      </c>
      <c r="N8" s="282" t="inlineStr">
        <is>
          <t>Data 10</t>
        </is>
      </c>
    </row>
    <row customHeight="1" ht="30" r="9">
      <c r="A9" s="261" t="inlineStr">
        <is>
          <t>Phase Current Setting Point 
相电流设定点</t>
        </is>
      </c>
      <c r="B9" s="36" t="n"/>
      <c r="C9" s="13" t="n"/>
      <c r="D9" s="209" t="inlineStr">
        <is>
          <t>[Arms]</t>
        </is>
      </c>
      <c r="E9" s="268" t="n">
        <v>50</v>
      </c>
      <c r="F9" s="268">
        <f>E9+50</f>
        <v/>
      </c>
      <c r="G9" s="268">
        <f>F9+50</f>
        <v/>
      </c>
      <c r="H9" s="268">
        <f>G9+50</f>
        <v/>
      </c>
      <c r="I9" s="268">
        <f>H9+50</f>
        <v/>
      </c>
      <c r="J9" s="268">
        <f>I9+50</f>
        <v/>
      </c>
      <c r="K9" s="268" t="n">
        <v>350</v>
      </c>
      <c r="L9" s="268" t="n"/>
      <c r="M9" s="268" t="n"/>
      <c r="N9" s="283" t="n"/>
    </row>
    <row customHeight="1" ht="30" r="10">
      <c r="A10" s="262" t="inlineStr">
        <is>
          <t>Winding Temperature @measuring
绕线温度测量值</t>
        </is>
      </c>
      <c r="B10" s="28" t="n"/>
      <c r="C10" s="29" t="n"/>
      <c r="D10" s="263" t="inlineStr">
        <is>
          <t>[°C]</t>
        </is>
      </c>
      <c r="E10" s="269" t="n"/>
      <c r="F10" s="269" t="n"/>
      <c r="G10" s="269" t="n"/>
      <c r="H10" s="269" t="n"/>
      <c r="I10" s="269" t="n"/>
      <c r="J10" s="269" t="n"/>
      <c r="K10" s="269" t="n"/>
      <c r="L10" s="278" t="n"/>
      <c r="M10" s="278" t="n"/>
      <c r="N10" s="284" t="n"/>
    </row>
    <row customHeight="1" ht="30" r="11">
      <c r="A11" s="261" t="inlineStr">
        <is>
          <t>Real Phase Current
实际相电流值</t>
        </is>
      </c>
      <c r="B11" s="36" t="n"/>
      <c r="C11" s="13" t="n"/>
      <c r="D11" s="209" t="inlineStr">
        <is>
          <t>[Arms]</t>
        </is>
      </c>
      <c r="E11" s="220" t="n"/>
      <c r="F11" s="220" t="n"/>
      <c r="G11" s="220" t="n"/>
      <c r="H11" s="220" t="n"/>
      <c r="I11" s="220" t="n"/>
      <c r="J11" s="220" t="n"/>
      <c r="K11" s="220" t="n"/>
      <c r="L11" s="220" t="n"/>
      <c r="M11" s="220" t="n"/>
      <c r="N11" s="285" t="n"/>
    </row>
    <row customHeight="1" ht="30" r="12">
      <c r="A12" s="261" t="inlineStr">
        <is>
          <t>Real Speed 
实际速度</t>
        </is>
      </c>
      <c r="B12" s="36" t="n"/>
      <c r="C12" s="13" t="n"/>
      <c r="D12" s="209" t="inlineStr">
        <is>
          <t>[rpm]</t>
        </is>
      </c>
      <c r="E12" s="270" t="n">
        <v>500</v>
      </c>
      <c r="F12" s="270" t="n">
        <v>500</v>
      </c>
      <c r="G12" s="270" t="n">
        <v>500</v>
      </c>
      <c r="H12" s="270" t="n">
        <v>500</v>
      </c>
      <c r="I12" s="270" t="n">
        <v>500</v>
      </c>
      <c r="J12" s="270" t="n">
        <v>500</v>
      </c>
      <c r="K12" s="270" t="n">
        <v>500</v>
      </c>
      <c r="L12" s="270" t="n">
        <v>500</v>
      </c>
      <c r="M12" s="270" t="n">
        <v>500</v>
      </c>
      <c r="N12" s="286" t="n">
        <v>500</v>
      </c>
    </row>
    <row customHeight="1" ht="30" r="13">
      <c r="A13" s="261" t="inlineStr">
        <is>
          <t>Real Speed
实际角速度</t>
        </is>
      </c>
      <c r="B13" s="36" t="n"/>
      <c r="C13" s="13" t="n"/>
      <c r="D13" s="209" t="inlineStr">
        <is>
          <t>[rad/s]</t>
        </is>
      </c>
      <c r="E13" s="271">
        <f>E12/60*2*PI()</f>
        <v/>
      </c>
      <c r="F13" s="271">
        <f>F12/60*2*PI()</f>
        <v/>
      </c>
      <c r="G13" s="271">
        <f>G12/60*2*PI()</f>
        <v/>
      </c>
      <c r="H13" s="271">
        <f>H12/60*2*PI()</f>
        <v/>
      </c>
      <c r="I13" s="271">
        <f>I12/60*2*PI()</f>
        <v/>
      </c>
      <c r="J13" s="271">
        <f>J12/60*2*PI()</f>
        <v/>
      </c>
      <c r="K13" s="271">
        <f>K12/60*2*PI()</f>
        <v/>
      </c>
      <c r="L13" s="271">
        <f>L12/60*2*PI()</f>
        <v/>
      </c>
      <c r="M13" s="271">
        <f>M12/60*2*PI()</f>
        <v/>
      </c>
      <c r="N13" s="287">
        <f>N12/60*2*PI()</f>
        <v/>
      </c>
    </row>
    <row customHeight="1" ht="30" r="14">
      <c r="A14" s="261" t="inlineStr">
        <is>
          <t>Frequency 
频率</t>
        </is>
      </c>
      <c r="B14" s="36" t="n"/>
      <c r="C14" s="13" t="n"/>
      <c r="D14" s="209" t="inlineStr">
        <is>
          <t>[Hz]</t>
        </is>
      </c>
      <c r="E14" s="592">
        <f>E12/60*'DUT Description'!$D$8</f>
        <v/>
      </c>
      <c r="F14" s="592">
        <f>F12/60*'DUT Description'!$D$8</f>
        <v/>
      </c>
      <c r="G14" s="592">
        <f>G12/60*'DUT Description'!$D$8</f>
        <v/>
      </c>
      <c r="H14" s="592">
        <f>H12/60*'DUT Description'!$D$8</f>
        <v/>
      </c>
      <c r="I14" s="592">
        <f>I12/60*'DUT Description'!$D$8</f>
        <v/>
      </c>
      <c r="J14" s="592">
        <f>J12/60*'DUT Description'!$D$8</f>
        <v/>
      </c>
      <c r="K14" s="592">
        <f>K12/60*'DUT Description'!$D$8</f>
        <v/>
      </c>
      <c r="L14" s="592">
        <f>L12/60*'DUT Description'!$D$8</f>
        <v/>
      </c>
      <c r="M14" s="592">
        <f>M12/60*'DUT Description'!$D$8</f>
        <v/>
      </c>
      <c r="N14" s="645">
        <f>N12/60*'DUT Description'!$D$8</f>
        <v/>
      </c>
    </row>
    <row customHeight="1" ht="30" r="15">
      <c r="A15" s="261" t="inlineStr">
        <is>
          <t>Torque Command [Nm]
扭矩命令值</t>
        </is>
      </c>
      <c r="B15" s="36" t="n"/>
      <c r="C15" s="13" t="n"/>
      <c r="D15" s="209" t="inlineStr">
        <is>
          <t>[Nm]</t>
        </is>
      </c>
      <c r="E15" s="33" t="n"/>
      <c r="F15" s="33" t="n"/>
      <c r="G15" s="33" t="n"/>
      <c r="H15" s="33" t="n"/>
      <c r="I15" s="33" t="n"/>
      <c r="J15" s="33" t="n"/>
      <c r="K15" s="33" t="n"/>
      <c r="L15" s="279" t="n"/>
      <c r="M15" s="279" t="n"/>
      <c r="N15" s="289" t="n"/>
    </row>
    <row customHeight="1" ht="30" r="16">
      <c r="A16" s="261" t="inlineStr">
        <is>
          <t>Torque measurement 
扭矩测量值</t>
        </is>
      </c>
      <c r="B16" s="36" t="n"/>
      <c r="C16" s="13" t="n"/>
      <c r="D16" s="209" t="inlineStr">
        <is>
          <t>[Nm]</t>
        </is>
      </c>
      <c r="E16" s="646" t="n"/>
      <c r="F16" s="646" t="n"/>
      <c r="G16" s="646" t="n"/>
      <c r="H16" s="646" t="n"/>
      <c r="I16" s="646" t="n"/>
      <c r="J16" s="646" t="n"/>
      <c r="K16" s="646" t="n"/>
      <c r="L16" s="646" t="n"/>
      <c r="M16" s="646" t="n"/>
      <c r="N16" s="647" t="n"/>
    </row>
    <row customHeight="1" ht="30" r="17">
      <c r="A17" s="264" t="inlineStr">
        <is>
          <t>Kt</t>
        </is>
      </c>
      <c r="B17" s="36" t="n"/>
      <c r="C17" s="13" t="n"/>
      <c r="D17" s="209" t="inlineStr">
        <is>
          <t>[Nm/Arms]</t>
        </is>
      </c>
      <c r="E17" s="274">
        <f>E16/E11</f>
        <v/>
      </c>
      <c r="F17" s="274">
        <f>F16/F11</f>
        <v/>
      </c>
      <c r="G17" s="274">
        <f>G16/G11</f>
        <v/>
      </c>
      <c r="H17" s="274">
        <f>H16/H11</f>
        <v/>
      </c>
      <c r="I17" s="274">
        <f>I16/I11</f>
        <v/>
      </c>
      <c r="J17" s="274">
        <f>J16/J11</f>
        <v/>
      </c>
      <c r="K17" s="274">
        <f>K16/K11</f>
        <v/>
      </c>
      <c r="L17" s="274">
        <f>L16/L11</f>
        <v/>
      </c>
      <c r="M17" s="274">
        <f>M16/M11</f>
        <v/>
      </c>
      <c r="N17" s="291">
        <f>N16/N11</f>
        <v/>
      </c>
    </row>
    <row customHeight="1" ht="30" r="18">
      <c r="A18" s="265" t="inlineStr">
        <is>
          <t>Ke [Vrms_ph-ph/(rad/s)] calculated by Kt</t>
        </is>
      </c>
      <c r="B18" s="96" t="n"/>
      <c r="C18" s="96" t="n"/>
      <c r="D18" s="134" t="n"/>
      <c r="E18" s="275">
        <f>E17/SQRT(3)</f>
        <v/>
      </c>
      <c r="F18" s="275">
        <f>F17/SQRT(3)</f>
        <v/>
      </c>
      <c r="G18" s="275">
        <f>G17/SQRT(3)</f>
        <v/>
      </c>
      <c r="H18" s="275">
        <f>H17/SQRT(3)</f>
        <v/>
      </c>
      <c r="I18" s="275">
        <f>I17/SQRT(3)</f>
        <v/>
      </c>
      <c r="J18" s="275">
        <f>J17/SQRT(3)</f>
        <v/>
      </c>
      <c r="K18" s="275">
        <f>K17/SQRT(3)</f>
        <v/>
      </c>
      <c r="L18" s="275">
        <f>L17/SQRT(3)</f>
        <v/>
      </c>
      <c r="M18" s="275">
        <f>M17/SQRT(3)</f>
        <v/>
      </c>
      <c r="N18" s="292">
        <f>N17/SQRT(3)</f>
        <v/>
      </c>
    </row>
    <row customHeight="1" ht="30" r="19">
      <c r="A19" s="53" t="n"/>
      <c r="B19" s="54" t="inlineStr">
        <is>
          <t>Automatic calculate
自动计算</t>
        </is>
      </c>
    </row>
    <row r="20">
      <c r="A20" s="266" t="inlineStr">
        <is>
          <t>Test Propose</t>
        </is>
      </c>
      <c r="B20" s="266" t="n"/>
    </row>
    <row customHeight="1" ht="64.5" r="21">
      <c r="A21" s="52" t="inlineStr">
        <is>
          <t>The purpose of this test is to find 测试目的是为了寻找
1. Kt parameter for the DUT  被测电机的的Kt参数
2. How much phase current at which the motor start to saturation.    电机开始饱和电流
3. Check MCU torque control accuracy。 检查逆变器扭矩控制精度</t>
        </is>
      </c>
      <c r="B21" s="36" t="n"/>
      <c r="C21" s="36" t="n"/>
      <c r="D21" s="36" t="n"/>
      <c r="E21" s="36" t="n"/>
      <c r="F21" s="36" t="n"/>
      <c r="G21" s="36" t="n"/>
      <c r="H21" s="36" t="n"/>
      <c r="I21" s="36" t="n"/>
      <c r="J21" s="13" t="n"/>
    </row>
  </sheetData>
  <mergeCells count="34">
    <mergeCell ref="C1:N1"/>
    <mergeCell ref="C2:N2"/>
    <mergeCell ref="A3:N3"/>
    <mergeCell ref="E4:F4"/>
    <mergeCell ref="G4:H4"/>
    <mergeCell ref="I4:J4"/>
    <mergeCell ref="K4:L4"/>
    <mergeCell ref="E5:F5"/>
    <mergeCell ref="G5:H5"/>
    <mergeCell ref="I5:J5"/>
    <mergeCell ref="K5:L5"/>
    <mergeCell ref="A6:B6"/>
    <mergeCell ref="C6:D6"/>
    <mergeCell ref="E6:F6"/>
    <mergeCell ref="G6:H6"/>
    <mergeCell ref="I6:J6"/>
    <mergeCell ref="K6:L6"/>
    <mergeCell ref="A7:N7"/>
    <mergeCell ref="A8:C8"/>
    <mergeCell ref="A9:C9"/>
    <mergeCell ref="A10:C10"/>
    <mergeCell ref="A11:C11"/>
    <mergeCell ref="A12:C12"/>
    <mergeCell ref="A13:C13"/>
    <mergeCell ref="A14:C14"/>
    <mergeCell ref="A15:C15"/>
    <mergeCell ref="A16:C16"/>
    <mergeCell ref="A17:C17"/>
    <mergeCell ref="A18:D18"/>
    <mergeCell ref="B19:D19"/>
    <mergeCell ref="A21:J21"/>
    <mergeCell ref="A1:B2"/>
    <mergeCell ref="A4:B5"/>
    <mergeCell ref="C4:D5"/>
  </mergeCells>
  <conditionalFormatting sqref="E11:N11">
    <cfRule dxfId="0" priority="5" type="expression">
      <formula>'/Users/Leslie/AppData/Local/Microsoft/Windows/Temporary Internet Files/Content.MSO/[M21R Design Verification Test Table Rev1.xlsx]Peak Curve'!#REF!="FAILED"</formula>
    </cfRule>
  </conditionalFormatting>
  <conditionalFormatting sqref="E16:N16">
    <cfRule dxfId="0" priority="6" type="expression">
      <formula>'/MAGELEC/Motor Test Files/M21R/A04-004/[M21R Design Verification Test Table Rev 21thJune.xlsx]Peak Curve'!#REF!="FAILED"</formula>
    </cfRule>
  </conditionalFormatting>
  <conditionalFormatting sqref="E17:N17 E8:N8 E12:N14">
    <cfRule dxfId="0" priority="8" type="expression">
      <formula>'/MAGELEC/Motor Test Files/M21R/A04-004/[M21R Design Verification Test Table Rev 21thJune.xlsx]Peak Curve'!#REF!="FAILED"</formula>
    </cfRule>
  </conditionalFormatting>
  <dataValidations count="5">
    <dataValidation allowBlank="0" showErrorMessage="1" showInputMessage="1" sqref="A6:B6" type="list">
      <formula1>"Traction &amp; Torque主转扭矩, Traction &amp; Speed主转速度,Generation &amp; Torque发电扭矩, Generation &amp; Speed发电速度"</formula1>
    </dataValidation>
    <dataValidation allowBlank="0" showErrorMessage="1" showInputMessage="1" sqref="C6" type="list">
      <formula1>"Positive正转, Negative反转"</formula1>
    </dataValidation>
    <dataValidation allowBlank="0" showErrorMessage="1" showInputMessage="1" sqref="G6" type="list">
      <formula1>"500"</formula1>
    </dataValidation>
    <dataValidation allowBlank="0" showErrorMessage="1" showInputMessage="1" sqref="I6" type="list">
      <formula1>"20,45,55"</formula1>
    </dataValidation>
    <dataValidation allowBlank="0" showErrorMessage="1" showInputMessage="1" sqref="K6:L6" type="list">
      <formula1>"55 -120"</formula1>
    </dataValidation>
  </dataValidations>
  <pageMargins bottom="0.3" footer="0.3" header="0.3" left="0.3" right="0.3" top="0.3"/>
  <pageSetup orientation="landscape"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22"/>
  <sheetViews>
    <sheetView workbookViewId="0">
      <selection activeCell="H22" sqref="H22"/>
    </sheetView>
  </sheetViews>
  <sheetFormatPr baseColWidth="8" defaultColWidth="9" defaultRowHeight="16.8"/>
  <cols>
    <col customWidth="1" max="2" min="1" width="9.14423076923077"/>
    <col customWidth="1" max="3" min="3" width="33.2884615384615"/>
    <col customWidth="1" max="5" min="4" style="141" width="12.1442307692308"/>
  </cols>
  <sheetData>
    <row customHeight="1" ht="17.55" r="1">
      <c r="A1" s="245" t="n"/>
      <c r="B1" s="246" t="n"/>
      <c r="C1" s="247" t="inlineStr">
        <is>
          <t>Description</t>
        </is>
      </c>
      <c r="D1" s="162" t="inlineStr">
        <is>
          <t>For up to 60s</t>
        </is>
      </c>
      <c r="E1" s="162" t="inlineStr">
        <is>
          <t>For up to 20s</t>
        </is>
      </c>
    </row>
    <row r="2">
      <c r="A2" s="248" t="inlineStr">
        <is>
          <t>Mechanical Data</t>
        </is>
      </c>
      <c r="B2" s="249" t="inlineStr">
        <is>
          <t>Motor Test Conditions</t>
        </is>
      </c>
      <c r="C2" s="250" t="inlineStr">
        <is>
          <t>Pole pairs</t>
        </is>
      </c>
      <c r="D2" s="162" t="n">
        <v>5</v>
      </c>
      <c r="E2" s="162" t="n">
        <v>5</v>
      </c>
    </row>
    <row r="3">
      <c r="A3" s="26" t="n"/>
      <c r="B3" s="26" t="n"/>
      <c r="C3" s="251" t="inlineStr">
        <is>
          <t>Machine model</t>
        </is>
      </c>
      <c r="D3" s="162" t="n"/>
      <c r="E3" s="162" t="n"/>
    </row>
    <row r="4">
      <c r="A4" s="26" t="n"/>
      <c r="B4" s="26" t="n"/>
      <c r="C4" s="251" t="inlineStr">
        <is>
          <t>M.U.T. control mode</t>
        </is>
      </c>
      <c r="D4" s="162" t="inlineStr">
        <is>
          <t>Enable</t>
        </is>
      </c>
      <c r="E4" s="162" t="inlineStr">
        <is>
          <t>Enable</t>
        </is>
      </c>
    </row>
    <row r="5">
      <c r="A5" s="26" t="n"/>
      <c r="B5" s="26" t="n"/>
      <c r="C5" s="252" t="inlineStr">
        <is>
          <t>Type of test</t>
        </is>
      </c>
      <c r="D5" s="162" t="inlineStr">
        <is>
          <t>Peak torque</t>
        </is>
      </c>
      <c r="E5" s="162" t="inlineStr">
        <is>
          <t>Peak torque</t>
        </is>
      </c>
    </row>
    <row r="6">
      <c r="A6" s="26" t="n"/>
      <c r="B6" s="26" t="n"/>
      <c r="C6" s="252" t="inlineStr">
        <is>
          <t>Rotating direction</t>
        </is>
      </c>
      <c r="D6" s="162" t="n"/>
      <c r="E6" s="162" t="n"/>
    </row>
    <row r="7">
      <c r="A7" s="26" t="n"/>
      <c r="B7" s="26" t="n"/>
      <c r="C7" s="252" t="inlineStr">
        <is>
          <t>DC BUS Voltage [VDC]</t>
        </is>
      </c>
      <c r="D7" s="162" t="n">
        <v>400</v>
      </c>
      <c r="E7" s="162" t="n">
        <v>400</v>
      </c>
    </row>
    <row r="8">
      <c r="A8" s="26" t="n"/>
      <c r="B8" s="26" t="n"/>
      <c r="C8" s="252" t="inlineStr">
        <is>
          <t>Speed Set Point [rpm]</t>
        </is>
      </c>
      <c r="D8" s="162" t="n">
        <v>500</v>
      </c>
      <c r="E8" s="162" t="n">
        <v>500</v>
      </c>
    </row>
    <row r="9">
      <c r="A9" s="26" t="n"/>
      <c r="B9" s="26" t="n"/>
      <c r="C9" s="252" t="inlineStr">
        <is>
          <t>Ambient Room Temperature [°C]</t>
        </is>
      </c>
      <c r="D9" s="162" t="n">
        <v>20</v>
      </c>
      <c r="E9" s="162" t="n">
        <v>20</v>
      </c>
    </row>
    <row r="10">
      <c r="A10" s="26" t="n"/>
      <c r="B10" s="26" t="n"/>
      <c r="C10" s="252" t="inlineStr">
        <is>
          <t>Coolant Temp. In Motor [°C]</t>
        </is>
      </c>
      <c r="D10" s="162" t="n"/>
      <c r="E10" s="162" t="n"/>
    </row>
    <row r="11">
      <c r="A11" s="26" t="n"/>
      <c r="B11" s="26" t="n"/>
      <c r="C11" s="252" t="inlineStr">
        <is>
          <t>Coolant Temp. Out Motor [°C]</t>
        </is>
      </c>
      <c r="D11" s="162" t="n"/>
      <c r="E11" s="162" t="n"/>
    </row>
    <row customHeight="1" ht="17" r="12">
      <c r="A12" s="26" t="n"/>
      <c r="B12" s="26" t="n"/>
      <c r="C12" s="252" t="inlineStr">
        <is>
          <t>Winding Temp. @end [°C]</t>
        </is>
      </c>
      <c r="D12" s="162" t="n"/>
      <c r="E12" s="162" t="n"/>
    </row>
    <row customHeight="1" ht="17" r="13">
      <c r="A13" s="26" t="n"/>
      <c r="B13" s="253" t="inlineStr">
        <is>
          <t>Motor Speed &amp; Torque</t>
        </is>
      </c>
      <c r="C13" s="152" t="inlineStr">
        <is>
          <t>Speed Read@Inverter Feedback [rpm]</t>
        </is>
      </c>
      <c r="D13" s="162" t="n">
        <v>500</v>
      </c>
      <c r="E13" s="162" t="n">
        <v>500</v>
      </c>
    </row>
    <row r="14">
      <c r="A14" s="26" t="n"/>
      <c r="B14" s="26" t="n"/>
      <c r="C14" s="152" t="inlineStr">
        <is>
          <t>Frequency [Hz]</t>
        </is>
      </c>
      <c r="D14" s="648">
        <f>D13*D2/60</f>
        <v/>
      </c>
      <c r="E14" s="648">
        <f>E13*E2/60</f>
        <v/>
      </c>
    </row>
    <row customHeight="1" ht="17" r="15">
      <c r="A15" s="26" t="n"/>
      <c r="B15" s="26" t="n"/>
      <c r="C15" s="152" t="inlineStr">
        <is>
          <t>Speed Read@Inverter Feedback [rad/s]</t>
        </is>
      </c>
      <c r="D15" s="162" t="n">
        <v>500</v>
      </c>
      <c r="E15" s="162" t="n">
        <v>500</v>
      </c>
    </row>
    <row r="16">
      <c r="A16" s="26" t="n"/>
      <c r="B16" s="26" t="n"/>
      <c r="C16" s="152" t="inlineStr">
        <is>
          <t>Torque Sensor Offset [VDC]</t>
        </is>
      </c>
      <c r="D16" s="162" t="n"/>
      <c r="E16" s="162" t="n"/>
    </row>
    <row r="17">
      <c r="A17" s="26" t="n"/>
      <c r="B17" s="26" t="n"/>
      <c r="C17" s="152" t="inlineStr">
        <is>
          <t>Torque Sensor DC Read Value [VDC]</t>
        </is>
      </c>
      <c r="D17" s="162" t="n"/>
      <c r="E17" s="162" t="n"/>
    </row>
    <row customHeight="1" ht="17" r="18">
      <c r="A18" s="26" t="n"/>
      <c r="B18" s="26" t="n"/>
      <c r="C18" s="649" t="inlineStr">
        <is>
          <t>Torque measured value [VDC]</t>
        </is>
      </c>
      <c r="D18" s="162">
        <f>D17-D16</f>
        <v/>
      </c>
      <c r="E18" s="162">
        <f>E17-E16</f>
        <v/>
      </c>
    </row>
    <row customHeight="1" ht="17" r="19">
      <c r="A19" s="26" t="n"/>
      <c r="B19" s="26" t="n"/>
      <c r="C19" s="649" t="inlineStr">
        <is>
          <t>Torque sensor Gain</t>
        </is>
      </c>
      <c r="D19" s="648" t="n">
        <v>100.12</v>
      </c>
      <c r="E19" s="648" t="n">
        <v>100.12</v>
      </c>
    </row>
    <row customHeight="1" ht="17.75" r="20">
      <c r="A20" s="30" t="n"/>
      <c r="B20" s="255" t="n"/>
      <c r="C20" s="152" t="inlineStr">
        <is>
          <t>Torque Read@Torque Sensor [Nm]</t>
        </is>
      </c>
      <c r="D20" s="648">
        <f>D19*D18</f>
        <v/>
      </c>
      <c r="E20" s="648">
        <f>E19*E18</f>
        <v/>
      </c>
    </row>
    <row customHeight="1" ht="20" r="21">
      <c r="A21" s="256" t="n"/>
      <c r="B21" s="257" t="n"/>
      <c r="C21" s="258" t="inlineStr">
        <is>
          <t>Motor Current ph-n [VRMS]</t>
        </is>
      </c>
      <c r="D21" s="162" t="n"/>
      <c r="E21" s="162" t="n"/>
    </row>
    <row r="22">
      <c r="A22" s="30" t="n"/>
      <c r="B22" s="30" t="n"/>
      <c r="C22" s="258" t="inlineStr">
        <is>
          <t>Kt [Nm/IRMS_ph-n]</t>
        </is>
      </c>
      <c r="D22" s="162" t="n"/>
      <c r="E22" s="162" t="n"/>
    </row>
  </sheetData>
  <mergeCells count="5">
    <mergeCell ref="A2:A20"/>
    <mergeCell ref="A21:A22"/>
    <mergeCell ref="B2:B12"/>
    <mergeCell ref="B13:B20"/>
    <mergeCell ref="B21:B22"/>
  </mergeCells>
  <pageMargins bottom="0.75" footer="0.3" header="0.3" left="0.699305555555556" right="0.699305555555556" top="0.75"/>
</worksheet>
</file>

<file path=xl/worksheets/sheet12.xml><?xml version="1.0" encoding="utf-8"?>
<worksheet xmlns="http://schemas.openxmlformats.org/spreadsheetml/2006/main">
  <sheetPr>
    <outlinePr summaryBelow="1" summaryRight="1"/>
    <pageSetUpPr/>
  </sheetPr>
  <dimension ref="A1:M7595"/>
  <sheetViews>
    <sheetView showGridLines="0" topLeftCell="A7" workbookViewId="0" zoomScale="70" zoomScaleNormal="70">
      <selection activeCell="Q17" sqref="Q17"/>
    </sheetView>
  </sheetViews>
  <sheetFormatPr baseColWidth="8" defaultColWidth="9.14423076923077" defaultRowHeight="16.8"/>
  <cols>
    <col customWidth="1" max="4" min="1" style="2" width="10.5673076923077"/>
    <col customWidth="1" max="5" min="5" style="2" width="13.1442307692308"/>
    <col customWidth="1" max="13" min="6" style="2" width="10.5673076923077"/>
    <col customWidth="1" max="16384" min="14" style="2" width="9.14423076923077"/>
  </cols>
  <sheetData>
    <row customHeight="1" ht="30" r="1">
      <c r="A1" s="201" t="n"/>
      <c r="B1" s="202" t="n"/>
      <c r="C1" s="6" t="inlineStr">
        <is>
          <t>PRODUCT ACCEPTANCE TEST - Winding Heating</t>
        </is>
      </c>
      <c r="D1" s="24" t="n"/>
      <c r="E1" s="24" t="n"/>
      <c r="F1" s="24" t="n"/>
      <c r="G1" s="24" t="n"/>
      <c r="H1" s="24" t="n"/>
      <c r="I1" s="24" t="n"/>
      <c r="J1" s="24" t="n"/>
      <c r="K1" s="24" t="n"/>
      <c r="L1" s="24" t="n"/>
      <c r="M1" s="25" t="n"/>
    </row>
    <row customHeight="1" ht="30" r="2">
      <c r="A2" s="203" t="n"/>
      <c r="B2" s="28" t="n"/>
      <c r="C2" s="10">
        <f>'DUT Description'!C6&amp;" - "&amp;'DUT Description'!D6</f>
        <v/>
      </c>
      <c r="D2" s="28" t="n"/>
      <c r="E2" s="28" t="n"/>
      <c r="F2" s="28" t="n"/>
      <c r="G2" s="28" t="n"/>
      <c r="H2" s="28" t="n"/>
      <c r="I2" s="28" t="n"/>
      <c r="J2" s="28" t="n"/>
      <c r="K2" s="28" t="n"/>
      <c r="L2" s="28" t="n"/>
      <c r="M2" s="29" t="n"/>
    </row>
    <row customHeight="1" ht="30" r="3">
      <c r="A3" s="204" t="inlineStr">
        <is>
          <t>Coollant and Test Room Environment 
冷却系统和测试环境</t>
        </is>
      </c>
      <c r="B3" s="28" t="n"/>
      <c r="C3" s="28" t="n"/>
      <c r="D3" s="28" t="n"/>
      <c r="E3" s="28" t="n"/>
      <c r="F3" s="28" t="n"/>
      <c r="G3" s="28" t="n"/>
      <c r="H3" s="28" t="n"/>
      <c r="I3" s="28" t="n"/>
      <c r="J3" s="28" t="n"/>
      <c r="K3" s="28" t="n"/>
      <c r="L3" s="28" t="n"/>
      <c r="M3" s="28" t="n"/>
    </row>
    <row customHeight="1" ht="30" r="4">
      <c r="A4" s="205" t="inlineStr">
        <is>
          <t>D.U.T. Control Mode
被测电机控制模式</t>
        </is>
      </c>
      <c r="B4" s="25" t="n"/>
      <c r="C4" s="205" t="inlineStr">
        <is>
          <t>Rotating Direction
运转方向</t>
        </is>
      </c>
      <c r="D4" s="25" t="n"/>
      <c r="E4" s="215" t="inlineStr">
        <is>
          <t>DC BUS Voltage
直流电压</t>
        </is>
      </c>
      <c r="F4" s="205" t="inlineStr">
        <is>
          <t>Phase Current Setting Point相电流设定</t>
        </is>
      </c>
      <c r="G4" s="13" t="n"/>
      <c r="H4" s="49" t="inlineStr">
        <is>
          <t>Speed Set Point
速度设定点</t>
        </is>
      </c>
      <c r="I4" s="13" t="n"/>
      <c r="J4" s="49" t="inlineStr">
        <is>
          <t>Coolant
冷却介质</t>
        </is>
      </c>
      <c r="K4" s="13" t="n"/>
      <c r="L4" s="226" t="inlineStr">
        <is>
          <t>Ambient Room Temp
环境温度</t>
        </is>
      </c>
      <c r="M4" s="242" t="n"/>
    </row>
    <row customHeight="1" ht="30" r="5">
      <c r="A5" s="27" t="n"/>
      <c r="B5" s="29" t="n"/>
      <c r="C5" s="27" t="n"/>
      <c r="D5" s="29" t="n"/>
      <c r="E5" s="216" t="inlineStr">
        <is>
          <t>[VDC]</t>
        </is>
      </c>
      <c r="F5" s="205" t="inlineStr">
        <is>
          <t>[Arms]</t>
        </is>
      </c>
      <c r="G5" s="13" t="n"/>
      <c r="H5" s="49" t="inlineStr">
        <is>
          <t>[rpm]</t>
        </is>
      </c>
      <c r="I5" s="13" t="n"/>
      <c r="J5" s="49" t="inlineStr">
        <is>
          <t>Temp温度
[°C]</t>
        </is>
      </c>
      <c r="K5" s="227" t="inlineStr">
        <is>
          <t>Flow流量
[L/min]</t>
        </is>
      </c>
      <c r="L5" s="228" t="inlineStr">
        <is>
          <t>[°C]</t>
        </is>
      </c>
      <c r="M5" s="242" t="n"/>
    </row>
    <row customHeight="1" ht="30" r="6">
      <c r="A6" s="206" t="inlineStr">
        <is>
          <t>Traction &amp; Torque牵引和扭矩</t>
        </is>
      </c>
      <c r="B6" s="13" t="n"/>
      <c r="C6" s="57" t="inlineStr">
        <is>
          <t>Positive正转</t>
        </is>
      </c>
      <c r="D6" s="13" t="n"/>
      <c r="E6" s="217" t="n">
        <v>600</v>
      </c>
      <c r="F6" s="218" t="n">
        <v>100</v>
      </c>
      <c r="G6" s="13" t="n"/>
      <c r="H6" s="218" t="n">
        <v>500</v>
      </c>
      <c r="I6" s="13" t="n"/>
      <c r="J6" s="229" t="n">
        <v>55</v>
      </c>
      <c r="K6" s="229" t="n">
        <v>8</v>
      </c>
      <c r="L6" s="230" t="n">
        <v>20</v>
      </c>
      <c r="M6" s="242" t="n"/>
    </row>
    <row customHeight="1" ht="30" r="7">
      <c r="A7" s="49" t="inlineStr">
        <is>
          <t>Item 8. Winding Heating Measurement
              绕组加热测试</t>
        </is>
      </c>
      <c r="B7" s="36" t="n"/>
      <c r="C7" s="36" t="n"/>
      <c r="D7" s="36" t="n"/>
      <c r="E7" s="36" t="n"/>
      <c r="F7" s="36" t="n"/>
      <c r="G7" s="36" t="n"/>
      <c r="H7" s="36" t="n"/>
      <c r="I7" s="36" t="n"/>
      <c r="J7" s="36" t="n"/>
      <c r="K7" s="36" t="n"/>
      <c r="L7" s="36" t="n"/>
      <c r="M7" s="13" t="n"/>
    </row>
    <row customHeight="1" ht="30" r="8">
      <c r="A8" s="207" t="inlineStr">
        <is>
          <t>Description</t>
        </is>
      </c>
      <c r="B8" s="207" t="n"/>
      <c r="C8" s="207" t="n"/>
      <c r="D8" s="207" t="n"/>
      <c r="E8" s="219" t="inlineStr">
        <is>
          <t>Data 1- Starting</t>
        </is>
      </c>
      <c r="F8" s="13" t="n"/>
      <c r="G8" s="219" t="inlineStr">
        <is>
          <t>Data 2 - After xx mins</t>
        </is>
      </c>
      <c r="H8" s="13" t="n"/>
      <c r="I8" s="231" t="n"/>
      <c r="J8" s="231" t="n"/>
      <c r="K8" s="232" t="inlineStr">
        <is>
          <t>Time [s]</t>
        </is>
      </c>
      <c r="L8" s="233" t="inlineStr">
        <is>
          <t>Twinding [°C]</t>
        </is>
      </c>
      <c r="M8" s="233" t="inlineStr">
        <is>
          <t>Twinding [°C]</t>
        </is>
      </c>
    </row>
    <row customHeight="1" ht="30" r="9">
      <c r="A9" s="208" t="inlineStr">
        <is>
          <t>Real Ambient Room Temperature
实际室温</t>
        </is>
      </c>
      <c r="B9" s="36" t="n"/>
      <c r="C9" s="13" t="n"/>
      <c r="D9" s="209" t="inlineStr">
        <is>
          <t>[°C]</t>
        </is>
      </c>
      <c r="E9" s="220" t="n">
        <v>20</v>
      </c>
      <c r="F9" s="13" t="n"/>
      <c r="G9" s="220" t="n">
        <v>20</v>
      </c>
      <c r="H9" s="13" t="n"/>
      <c r="I9" s="234" t="n"/>
      <c r="J9" s="234" t="n"/>
      <c r="K9" s="650" t="inlineStr">
        <is>
          <t>Time</t>
        </is>
      </c>
      <c r="L9" s="236" t="inlineStr">
        <is>
          <t>MA_RTD1</t>
        </is>
      </c>
      <c r="M9" s="236" t="inlineStr">
        <is>
          <t>MA_RTD2</t>
        </is>
      </c>
    </row>
    <row customHeight="1" ht="30" r="10">
      <c r="A10" s="208" t="inlineStr">
        <is>
          <t>Real Motor Coolant Flow Rate 
实际冷却介质流量</t>
        </is>
      </c>
      <c r="B10" s="36" t="n"/>
      <c r="C10" s="13" t="n"/>
      <c r="D10" s="209" t="inlineStr">
        <is>
          <t>[lpm]</t>
        </is>
      </c>
      <c r="E10" s="220" t="n">
        <v>8</v>
      </c>
      <c r="F10" s="13" t="n"/>
      <c r="G10" s="220" t="n">
        <v>8</v>
      </c>
      <c r="H10" s="13" t="n"/>
      <c r="I10" s="234" t="n"/>
      <c r="J10" s="234" t="n"/>
      <c r="K10" s="651" t="n">
        <v>-7</v>
      </c>
      <c r="L10" s="63" t="n"/>
      <c r="M10" s="63" t="n"/>
    </row>
    <row customHeight="1" ht="30" r="11">
      <c r="A11" s="208" t="inlineStr">
        <is>
          <t>Real Coolant Temp. In Motor
实际冷却介质温度</t>
        </is>
      </c>
      <c r="B11" s="36" t="n"/>
      <c r="C11" s="13" t="n"/>
      <c r="D11" s="209" t="inlineStr">
        <is>
          <t>[°C]</t>
        </is>
      </c>
      <c r="E11" s="220" t="n">
        <v>55</v>
      </c>
      <c r="F11" s="13" t="n"/>
      <c r="G11" s="220" t="n">
        <v>55</v>
      </c>
      <c r="H11" s="13" t="n"/>
      <c r="I11" s="234" t="n"/>
      <c r="J11" s="234" t="n"/>
      <c r="K11" s="651" t="n">
        <v>1.157407407407407e-05</v>
      </c>
      <c r="L11" s="63" t="n"/>
      <c r="M11" s="63" t="n"/>
    </row>
    <row customHeight="1" ht="30" r="12">
      <c r="A12" s="208" t="inlineStr">
        <is>
          <t>Real Speed 
实际速度</t>
        </is>
      </c>
      <c r="B12" s="36" t="n"/>
      <c r="C12" s="13" t="n"/>
      <c r="D12" s="209" t="inlineStr">
        <is>
          <t>[rpm]</t>
        </is>
      </c>
      <c r="E12" s="220" t="n">
        <v>500</v>
      </c>
      <c r="F12" s="13" t="n"/>
      <c r="G12" s="220" t="n">
        <v>500</v>
      </c>
      <c r="H12" s="13" t="n"/>
      <c r="I12" s="234" t="n"/>
      <c r="J12" s="234" t="n"/>
      <c r="K12" s="651" t="n">
        <v>2.314814814814815e-05</v>
      </c>
      <c r="L12" s="63" t="n"/>
      <c r="M12" s="63" t="n"/>
    </row>
    <row customHeight="1" ht="30" r="13">
      <c r="A13" s="208" t="inlineStr">
        <is>
          <t>Real Speed 
实际角速度</t>
        </is>
      </c>
      <c r="B13" s="36" t="n"/>
      <c r="C13" s="13" t="n"/>
      <c r="D13" s="209" t="inlineStr">
        <is>
          <t>[rad/s]</t>
        </is>
      </c>
      <c r="E13" s="221">
        <f>E12/60*2*PI()</f>
        <v/>
      </c>
      <c r="F13" s="13" t="n"/>
      <c r="G13" s="221">
        <f>G12/60*2*PI()</f>
        <v/>
      </c>
      <c r="H13" s="13" t="n"/>
      <c r="I13" s="234" t="n"/>
      <c r="J13" s="234" t="n"/>
      <c r="K13" s="651" t="n">
        <v>3.472222222222222e-05</v>
      </c>
      <c r="L13" s="63" t="n"/>
      <c r="M13" s="63" t="n"/>
    </row>
    <row customHeight="1" ht="30" r="14">
      <c r="A14" s="208" t="inlineStr">
        <is>
          <t>Frequency 
频率</t>
        </is>
      </c>
      <c r="B14" s="36" t="n"/>
      <c r="C14" s="13" t="n"/>
      <c r="D14" s="209" t="inlineStr">
        <is>
          <t>[Hz]</t>
        </is>
      </c>
      <c r="E14" s="221">
        <f>E12/60*'DUT Description'!$D$8</f>
        <v/>
      </c>
      <c r="F14" s="13" t="n"/>
      <c r="G14" s="221">
        <f>G12/60*'DUT Description'!$D$8</f>
        <v/>
      </c>
      <c r="H14" s="13" t="n"/>
      <c r="I14" s="234" t="n"/>
      <c r="J14" s="234" t="n"/>
      <c r="K14" s="651" t="n">
        <v>4.629629629629629e-05</v>
      </c>
      <c r="L14" s="63" t="n"/>
      <c r="M14" s="63" t="n"/>
    </row>
    <row customHeight="1" ht="30" r="15">
      <c r="A15" s="208" t="inlineStr">
        <is>
          <t>Real Phase Current 
实际相电流</t>
        </is>
      </c>
      <c r="B15" s="36" t="n"/>
      <c r="C15" s="13" t="n"/>
      <c r="D15" s="209" t="inlineStr">
        <is>
          <t>[Arms]</t>
        </is>
      </c>
      <c r="E15" s="220" t="n"/>
      <c r="F15" s="13" t="n"/>
      <c r="G15" s="220" t="n"/>
      <c r="H15" s="13" t="n"/>
      <c r="I15" s="234" t="n"/>
      <c r="J15" s="234" t="n"/>
      <c r="K15" s="651" t="n">
        <v>5.787037037037037e-05</v>
      </c>
      <c r="L15" s="63" t="n"/>
      <c r="M15" s="63" t="n"/>
    </row>
    <row customHeight="1" ht="30" r="16">
      <c r="A16" s="208" t="inlineStr">
        <is>
          <t>Torque Command
扭矩命令值</t>
        </is>
      </c>
      <c r="B16" s="36" t="n"/>
      <c r="C16" s="13" t="n"/>
      <c r="D16" s="209" t="inlineStr">
        <is>
          <t>[Nm]</t>
        </is>
      </c>
      <c r="E16" s="220" t="n"/>
      <c r="F16" s="13" t="n"/>
      <c r="G16" s="220" t="n"/>
      <c r="H16" s="13" t="n"/>
      <c r="I16" s="234" t="n"/>
      <c r="J16" s="234" t="n"/>
      <c r="K16" s="651" t="n">
        <v>6.944444444444444e-05</v>
      </c>
      <c r="L16" s="63" t="n"/>
      <c r="M16" s="63" t="n"/>
    </row>
    <row customHeight="1" ht="30" r="17">
      <c r="A17" s="208" t="inlineStr">
        <is>
          <t>Torque measurement
扭矩测量值</t>
        </is>
      </c>
      <c r="B17" s="36" t="n"/>
      <c r="C17" s="13" t="n"/>
      <c r="D17" s="209" t="inlineStr">
        <is>
          <t>[Nm]</t>
        </is>
      </c>
      <c r="E17" s="220" t="n"/>
      <c r="F17" s="13" t="n"/>
      <c r="G17" s="220" t="n"/>
      <c r="H17" s="13" t="n"/>
      <c r="I17" s="238" t="n"/>
      <c r="J17" s="238" t="n"/>
      <c r="K17" s="651" t="n">
        <v>8.101851851851852e-05</v>
      </c>
      <c r="L17" s="63" t="n"/>
      <c r="M17" s="63" t="n"/>
    </row>
    <row customHeight="1" ht="30" r="18">
      <c r="A18" s="210" t="inlineStr">
        <is>
          <t>Kt</t>
        </is>
      </c>
      <c r="B18" s="36" t="n"/>
      <c r="C18" s="13" t="n"/>
      <c r="D18" s="209" t="inlineStr">
        <is>
          <t>[Nm/Arms]</t>
        </is>
      </c>
      <c r="E18" s="221">
        <f>E17/E15</f>
        <v/>
      </c>
      <c r="F18" s="13" t="n"/>
      <c r="G18" s="221">
        <f>G17/G15</f>
        <v/>
      </c>
      <c r="H18" s="13" t="n"/>
      <c r="I18" s="234" t="n"/>
      <c r="J18" s="234" t="n"/>
      <c r="K18" s="651" t="n">
        <v>9.259259259259259e-05</v>
      </c>
      <c r="L18" s="63" t="n"/>
      <c r="M18" s="63" t="n"/>
    </row>
    <row customHeight="1" ht="30" r="19">
      <c r="A19" s="208" t="inlineStr">
        <is>
          <t>Winding Temperature
绕线温度</t>
        </is>
      </c>
      <c r="B19" s="36" t="n"/>
      <c r="C19" s="36" t="n"/>
      <c r="D19" s="13" t="n"/>
      <c r="E19" s="222" t="inlineStr">
        <is>
          <t>RTD1</t>
        </is>
      </c>
      <c r="F19" s="13" t="n"/>
      <c r="G19" s="222" t="inlineStr">
        <is>
          <t>RTD2</t>
        </is>
      </c>
      <c r="H19" s="13" t="n"/>
      <c r="I19" s="238" t="n"/>
      <c r="J19" s="238" t="n"/>
      <c r="K19" s="651" t="n">
        <v>0.0001041666666666667</v>
      </c>
      <c r="L19" s="63" t="n"/>
      <c r="M19" s="63" t="n"/>
    </row>
    <row customHeight="1" ht="30" r="20">
      <c r="A20" s="208" t="inlineStr">
        <is>
          <t>Winding Temperature@Starting
绕线开始温度</t>
        </is>
      </c>
      <c r="B20" s="36" t="n"/>
      <c r="C20" s="13" t="n"/>
      <c r="D20" s="209" t="inlineStr">
        <is>
          <t>[°C]</t>
        </is>
      </c>
      <c r="E20" s="220" t="n"/>
      <c r="F20" s="13" t="n"/>
      <c r="G20" s="220" t="n"/>
      <c r="H20" s="13" t="n"/>
      <c r="I20" s="238" t="n"/>
      <c r="J20" s="238" t="n"/>
      <c r="K20" s="651" t="n">
        <v>0.0001157407407407407</v>
      </c>
      <c r="L20" s="63" t="n"/>
      <c r="M20" s="63" t="n"/>
    </row>
    <row customHeight="1" ht="30" r="21">
      <c r="A21" s="208" t="inlineStr">
        <is>
          <t>Winding Temperature@8mins
8分钟后绕线温度</t>
        </is>
      </c>
      <c r="B21" s="36" t="n"/>
      <c r="C21" s="13" t="n"/>
      <c r="D21" s="209" t="inlineStr">
        <is>
          <t>[°C]</t>
        </is>
      </c>
      <c r="E21" s="220" t="n"/>
      <c r="F21" s="13" t="n"/>
      <c r="G21" s="220" t="n"/>
      <c r="H21" s="13" t="n"/>
      <c r="I21" s="238" t="n"/>
      <c r="J21" s="238" t="n"/>
      <c r="K21" s="651" t="n">
        <v>0.0001273148148148148</v>
      </c>
      <c r="L21" s="63" t="n"/>
      <c r="M21" s="63" t="n"/>
    </row>
    <row customHeight="1" ht="30" r="22">
      <c r="A22" s="208" t="inlineStr">
        <is>
          <t>Finnal stable Tempetature
最终稳定温度</t>
        </is>
      </c>
      <c r="B22" s="36" t="n"/>
      <c r="C22" s="13" t="n"/>
      <c r="D22" s="209" t="inlineStr">
        <is>
          <t>[°C]</t>
        </is>
      </c>
      <c r="E22" s="220" t="n"/>
      <c r="F22" s="13" t="n"/>
      <c r="G22" s="220" t="n"/>
      <c r="H22" s="13" t="n"/>
      <c r="I22" s="238" t="n"/>
      <c r="J22" s="238" t="n"/>
      <c r="K22" s="651" t="n">
        <v>0.0001388888888888889</v>
      </c>
      <c r="L22" s="63" t="n"/>
      <c r="M22" s="63" t="n"/>
    </row>
    <row customHeight="1" ht="30" r="23">
      <c r="A23" s="208" t="inlineStr">
        <is>
          <t>∆T after 8mins
8分钟后的温差</t>
        </is>
      </c>
      <c r="B23" s="36" t="n"/>
      <c r="C23" s="13" t="n"/>
      <c r="D23" s="210" t="inlineStr">
        <is>
          <t>[°C]</t>
        </is>
      </c>
      <c r="E23" s="223">
        <f>E22-G20</f>
        <v/>
      </c>
      <c r="F23" s="36" t="n"/>
      <c r="G23" s="36" t="n"/>
      <c r="H23" s="13" t="n"/>
      <c r="I23" s="239" t="n"/>
      <c r="J23" s="239" t="n"/>
      <c r="K23" s="651" t="n">
        <v>0.000150462962962963</v>
      </c>
      <c r="L23" s="63" t="n"/>
      <c r="M23" s="63" t="n"/>
    </row>
    <row customHeight="1" ht="20.1" r="24">
      <c r="A24" s="211" t="inlineStr">
        <is>
          <t>Test Propose</t>
        </is>
      </c>
      <c r="B24" s="36" t="n"/>
      <c r="C24" s="36" t="n"/>
      <c r="D24" s="36" t="n"/>
      <c r="E24" s="36" t="n"/>
      <c r="F24" s="36" t="n"/>
      <c r="G24" s="36" t="n"/>
      <c r="H24" s="13" t="n"/>
      <c r="I24" s="240" t="n"/>
      <c r="K24" s="651" t="n">
        <v>0.000162037037037037</v>
      </c>
      <c r="L24" s="63" t="n"/>
      <c r="M24" s="63" t="n"/>
    </row>
    <row customHeight="1" ht="20.1" r="25">
      <c r="A25" s="52" t="inlineStr">
        <is>
          <t>The purpose of this test is to know the heat transfer performance of the DUT
测试目的是为了知道被测电机的传热性能</t>
        </is>
      </c>
      <c r="B25" s="24" t="n"/>
      <c r="C25" s="24" t="n"/>
      <c r="D25" s="24" t="n"/>
      <c r="E25" s="24" t="n"/>
      <c r="F25" s="24" t="n"/>
      <c r="G25" s="24" t="n"/>
      <c r="H25" s="25" t="n"/>
      <c r="I25" s="241" t="n"/>
      <c r="K25" s="651" t="n">
        <v>0.0001736111111111111</v>
      </c>
      <c r="L25" s="63" t="n"/>
      <c r="M25" s="63" t="n"/>
    </row>
    <row customHeight="1" ht="20.1" r="26">
      <c r="A26" s="27" t="n"/>
      <c r="B26" s="28" t="n"/>
      <c r="C26" s="28" t="n"/>
      <c r="D26" s="28" t="n"/>
      <c r="E26" s="28" t="n"/>
      <c r="F26" s="28" t="n"/>
      <c r="G26" s="28" t="n"/>
      <c r="H26" s="29" t="n"/>
      <c r="I26" s="241" t="n"/>
      <c r="K26" s="651" t="n">
        <v>0.0001851851851851852</v>
      </c>
      <c r="L26" s="63" t="n"/>
      <c r="M26" s="63" t="n"/>
    </row>
    <row r="27">
      <c r="A27" s="53" t="n"/>
      <c r="B27" s="54" t="inlineStr">
        <is>
          <t>Automatic calculate
自动计算</t>
        </is>
      </c>
      <c r="D27" s="212" t="n"/>
      <c r="E27" s="213" t="n"/>
      <c r="F27" s="213" t="n"/>
      <c r="G27" s="224" t="n"/>
      <c r="H27" s="224" t="n"/>
      <c r="I27" s="224" t="n"/>
      <c r="K27" s="651" t="n">
        <v>0.0001967592592592593</v>
      </c>
      <c r="L27" s="63" t="n"/>
      <c r="M27" s="63" t="n"/>
    </row>
    <row customHeight="1" ht="15" r="28">
      <c r="D28" s="213" t="n"/>
      <c r="E28" s="213" t="n"/>
      <c r="F28" s="213" t="n"/>
      <c r="G28" s="225" t="n"/>
      <c r="H28" s="225" t="n"/>
      <c r="I28" s="225" t="n"/>
      <c r="K28" s="651" t="n"/>
      <c r="L28" s="63" t="n"/>
      <c r="M28" s="63" t="n"/>
    </row>
    <row r="29">
      <c r="A29" s="213" t="n"/>
      <c r="B29" s="213" t="n"/>
      <c r="C29" s="213" t="n"/>
      <c r="D29" s="213" t="n"/>
      <c r="E29" s="213" t="n"/>
      <c r="F29" s="213" t="n"/>
      <c r="G29" s="225" t="n"/>
      <c r="H29" s="225" t="n"/>
      <c r="I29" s="225" t="n"/>
      <c r="K29" s="651" t="n">
        <v>0.0002083333333333333</v>
      </c>
      <c r="L29" s="63" t="n"/>
      <c r="M29" s="63" t="n"/>
    </row>
    <row r="30">
      <c r="A30" s="213" t="n"/>
      <c r="B30" s="213" t="n"/>
      <c r="C30" s="213" t="n"/>
      <c r="D30" s="213" t="n"/>
      <c r="E30" s="213" t="n"/>
      <c r="F30" s="213" t="n"/>
      <c r="G30" s="225" t="n"/>
      <c r="H30" s="225" t="n"/>
      <c r="I30" s="225" t="n"/>
      <c r="K30" s="651" t="n">
        <v>0.0002199074074074074</v>
      </c>
      <c r="L30" s="63" t="n"/>
      <c r="M30" s="63" t="n"/>
    </row>
    <row r="31">
      <c r="A31" s="213" t="n"/>
      <c r="B31" s="213" t="n"/>
      <c r="C31" s="213" t="n"/>
      <c r="D31" s="213" t="n"/>
      <c r="E31" s="213" t="n"/>
      <c r="F31" s="213" t="n"/>
      <c r="G31" s="225" t="n"/>
      <c r="H31" s="225" t="n"/>
      <c r="I31" s="225" t="n"/>
      <c r="K31" s="651" t="n"/>
      <c r="L31" s="63" t="n"/>
      <c r="M31" s="63" t="n"/>
    </row>
    <row r="32">
      <c r="A32" s="213" t="n"/>
      <c r="B32" s="213" t="n"/>
      <c r="C32" s="213" t="n"/>
      <c r="D32" s="213" t="n"/>
      <c r="E32" s="213" t="n"/>
      <c r="F32" s="213" t="n"/>
      <c r="G32" s="225" t="n"/>
      <c r="H32" s="225" t="n"/>
      <c r="I32" s="225" t="n"/>
      <c r="K32" s="651" t="n">
        <v>0.0002314814814814815</v>
      </c>
      <c r="L32" s="63" t="n"/>
      <c r="M32" s="63" t="n"/>
    </row>
    <row r="33">
      <c r="A33" s="213" t="n"/>
      <c r="B33" s="213" t="n"/>
      <c r="C33" s="213" t="n"/>
      <c r="D33" s="213" t="n"/>
      <c r="E33" s="213" t="n"/>
      <c r="F33" s="213" t="n"/>
      <c r="G33" s="225" t="n"/>
      <c r="H33" s="225" t="n"/>
      <c r="I33" s="225" t="n"/>
      <c r="K33" s="651" t="n">
        <v>0.0002430555555555555</v>
      </c>
      <c r="L33" s="63" t="n"/>
      <c r="M33" s="63" t="n"/>
    </row>
    <row r="34">
      <c r="A34" s="213" t="n"/>
      <c r="B34" s="213" t="n"/>
      <c r="C34" s="213" t="n"/>
      <c r="D34" s="213" t="n"/>
      <c r="E34" s="213" t="n"/>
      <c r="F34" s="213" t="n"/>
      <c r="G34" s="225" t="n"/>
      <c r="H34" s="225" t="n"/>
      <c r="I34" s="225" t="n"/>
      <c r="K34" s="651" t="n">
        <v>0.0002546296296296296</v>
      </c>
      <c r="L34" s="63" t="n"/>
      <c r="M34" s="63" t="n"/>
    </row>
    <row r="35">
      <c r="A35" s="652" t="n"/>
      <c r="B35" s="652" t="n"/>
      <c r="C35" s="652" t="n"/>
      <c r="D35" s="652" t="n"/>
      <c r="E35" s="652" t="n"/>
      <c r="F35" s="652" t="n"/>
      <c r="G35" s="224" t="n"/>
      <c r="H35" s="224" t="n"/>
      <c r="I35" s="224" t="n"/>
      <c r="K35" s="651" t="n">
        <v>0.0002662037037037037</v>
      </c>
      <c r="L35" s="63" t="n"/>
      <c r="M35" s="63" t="n"/>
    </row>
    <row r="36">
      <c r="A36" s="652" t="n"/>
      <c r="B36" s="652" t="n"/>
      <c r="C36" s="652" t="n"/>
      <c r="D36" s="652" t="n"/>
      <c r="E36" s="652" t="n"/>
      <c r="F36" s="652" t="n"/>
      <c r="G36" s="224" t="n"/>
      <c r="H36" s="224" t="n"/>
      <c r="I36" s="224" t="n"/>
      <c r="K36" s="651" t="n">
        <v>0.0002777777777777778</v>
      </c>
      <c r="L36" s="63" t="n"/>
      <c r="M36" s="63" t="n"/>
    </row>
    <row r="37">
      <c r="A37" s="652" t="n"/>
      <c r="B37" s="652" t="n"/>
      <c r="C37" s="652" t="n"/>
      <c r="D37" s="652" t="n"/>
      <c r="E37" s="652" t="n"/>
      <c r="F37" s="652" t="n"/>
      <c r="G37" s="224" t="n"/>
      <c r="H37" s="224" t="n"/>
      <c r="I37" s="224" t="n"/>
      <c r="K37" s="651" t="n">
        <v>0.0002893518518518518</v>
      </c>
      <c r="L37" s="63" t="n"/>
      <c r="M37" s="63" t="n"/>
    </row>
    <row r="38">
      <c r="A38" s="652" t="n"/>
      <c r="B38" s="652" t="n"/>
      <c r="C38" s="652" t="n"/>
      <c r="D38" s="652" t="n"/>
      <c r="E38" s="652" t="n"/>
      <c r="F38" s="652" t="n"/>
      <c r="G38" s="224" t="n"/>
      <c r="H38" s="224" t="n"/>
      <c r="I38" s="224" t="n"/>
      <c r="K38" s="651" t="n">
        <v>0.0003009259259259259</v>
      </c>
      <c r="L38" s="63" t="n"/>
      <c r="M38" s="63" t="n"/>
    </row>
    <row r="39">
      <c r="K39" s="651" t="n">
        <v>0.0003125</v>
      </c>
      <c r="L39" s="63" t="n"/>
      <c r="M39" s="63" t="n"/>
    </row>
    <row r="40">
      <c r="K40" s="651" t="n">
        <v>0.0003240740740740741</v>
      </c>
      <c r="L40" s="63" t="n"/>
      <c r="M40" s="63" t="n"/>
    </row>
    <row r="41">
      <c r="K41" s="651" t="n">
        <v>0.0003356481481481481</v>
      </c>
      <c r="L41" s="63" t="n"/>
      <c r="M41" s="63" t="n"/>
    </row>
    <row r="42">
      <c r="K42" s="651" t="n">
        <v>0.0003472222222222222</v>
      </c>
      <c r="L42" s="63" t="n"/>
      <c r="M42" s="63" t="n"/>
    </row>
    <row r="43">
      <c r="K43" s="651" t="n">
        <v>0.0003587962962962963</v>
      </c>
      <c r="L43" s="63" t="n"/>
      <c r="M43" s="63" t="n"/>
    </row>
    <row r="44">
      <c r="K44" s="651" t="n">
        <v>0.0003703703703703704</v>
      </c>
      <c r="L44" s="63" t="n"/>
      <c r="M44" s="63" t="n"/>
    </row>
    <row r="45">
      <c r="K45" s="651" t="n">
        <v>0.0003819444444444445</v>
      </c>
      <c r="L45" s="63" t="n"/>
      <c r="M45" s="63" t="n"/>
    </row>
    <row r="46">
      <c r="K46" s="651" t="n">
        <v>0.0003935185185185185</v>
      </c>
      <c r="L46" s="63" t="n"/>
      <c r="M46" s="63" t="n"/>
    </row>
    <row r="47">
      <c r="K47" s="651" t="n">
        <v>0.0004050925925925926</v>
      </c>
      <c r="L47" s="63" t="n"/>
      <c r="M47" s="63" t="n"/>
    </row>
    <row r="48">
      <c r="K48" s="651" t="n">
        <v>0.0004166666666666667</v>
      </c>
      <c r="L48" s="63" t="n"/>
      <c r="M48" s="63" t="n"/>
    </row>
    <row r="49">
      <c r="K49" s="651" t="n">
        <v>0.0004282407407407408</v>
      </c>
      <c r="L49" s="63" t="n"/>
      <c r="M49" s="63" t="n"/>
    </row>
    <row r="50">
      <c r="K50" s="651" t="n">
        <v>0.0004398148148148148</v>
      </c>
      <c r="L50" s="63" t="n"/>
      <c r="M50" s="63" t="n"/>
    </row>
    <row r="51">
      <c r="K51" s="651" t="n">
        <v>0.0004513888888888889</v>
      </c>
      <c r="L51" s="63" t="n"/>
      <c r="M51" s="63" t="n"/>
    </row>
    <row r="52">
      <c r="K52" s="651" t="n">
        <v>0.000462962962962963</v>
      </c>
      <c r="L52" s="63" t="n"/>
      <c r="M52" s="63" t="n"/>
    </row>
    <row r="53">
      <c r="K53" s="651" t="n">
        <v>0.000474537037037037</v>
      </c>
      <c r="L53" s="63" t="n"/>
      <c r="M53" s="63" t="n"/>
    </row>
    <row r="54">
      <c r="K54" s="651" t="n">
        <v>0.0004861111111111111</v>
      </c>
      <c r="L54" s="63" t="n"/>
      <c r="M54" s="63" t="n"/>
    </row>
    <row r="55">
      <c r="K55" s="651" t="n">
        <v>0.0004976851851851852</v>
      </c>
      <c r="L55" s="63" t="n"/>
      <c r="M55" s="63" t="n"/>
    </row>
    <row r="56">
      <c r="K56" s="651" t="n">
        <v>0.0005092592592592592</v>
      </c>
      <c r="L56" s="63" t="n"/>
      <c r="M56" s="63" t="n"/>
    </row>
    <row r="57">
      <c r="K57" s="651" t="n">
        <v>0.0005208333333333333</v>
      </c>
      <c r="L57" s="63" t="n"/>
      <c r="M57" s="63" t="n"/>
    </row>
    <row r="58">
      <c r="K58" s="651" t="n">
        <v>0.0005324074074074074</v>
      </c>
      <c r="L58" s="63" t="n"/>
      <c r="M58" s="63" t="n"/>
    </row>
    <row r="59">
      <c r="K59" s="651" t="n">
        <v>0.0005439814814814814</v>
      </c>
      <c r="L59" s="63" t="n"/>
      <c r="M59" s="63" t="n"/>
    </row>
    <row r="60">
      <c r="K60" s="651" t="n">
        <v>0.0005555555555555556</v>
      </c>
      <c r="L60" s="63" t="n"/>
      <c r="M60" s="63" t="n"/>
    </row>
    <row r="61">
      <c r="K61" s="651" t="n">
        <v>0.0005671296296296297</v>
      </c>
      <c r="L61" s="63" t="n"/>
      <c r="M61" s="63" t="n"/>
    </row>
    <row r="62">
      <c r="K62" s="651" t="n">
        <v>0.0005787037037037037</v>
      </c>
      <c r="L62" s="63" t="n"/>
      <c r="M62" s="63" t="n"/>
    </row>
    <row r="63">
      <c r="K63" s="651" t="n">
        <v>0.0005902777777777778</v>
      </c>
      <c r="L63" s="63" t="n"/>
      <c r="M63" s="63" t="n"/>
    </row>
    <row r="64">
      <c r="K64" s="651" t="n">
        <v>0.0006018518518518519</v>
      </c>
      <c r="L64" s="63" t="n"/>
      <c r="M64" s="63" t="n"/>
    </row>
    <row r="65">
      <c r="K65" s="651" t="n">
        <v>0.0006134259259259259</v>
      </c>
      <c r="L65" s="63" t="n"/>
      <c r="M65" s="63" t="n"/>
    </row>
    <row r="66">
      <c r="K66" s="651" t="n">
        <v>0.000625</v>
      </c>
      <c r="L66" s="63" t="n"/>
      <c r="M66" s="63" t="n"/>
    </row>
    <row r="67">
      <c r="K67" s="651" t="n">
        <v>0.0006365740740740741</v>
      </c>
      <c r="L67" s="63" t="n"/>
      <c r="M67" s="63" t="n"/>
    </row>
    <row r="68">
      <c r="K68" s="651" t="n">
        <v>0.0006481481481481481</v>
      </c>
      <c r="L68" s="63" t="n"/>
      <c r="M68" s="63" t="n"/>
    </row>
    <row r="69">
      <c r="K69" s="651" t="n">
        <v>0.0006597222222222222</v>
      </c>
      <c r="L69" s="63" t="n"/>
      <c r="M69" s="63" t="n"/>
    </row>
    <row r="70">
      <c r="K70" s="651" t="n">
        <v>0.0006712962962962962</v>
      </c>
      <c r="L70" s="63" t="n"/>
      <c r="M70" s="63" t="n"/>
    </row>
    <row r="71">
      <c r="K71" s="651" t="n">
        <v>0.0006828703703703704</v>
      </c>
      <c r="L71" s="63" t="n"/>
      <c r="M71" s="63" t="n"/>
    </row>
    <row r="72">
      <c r="K72" s="651" t="n">
        <v>0.0006944444444444445</v>
      </c>
      <c r="L72" s="63" t="n"/>
      <c r="M72" s="63" t="n"/>
    </row>
    <row r="73">
      <c r="K73" s="651" t="n">
        <v>0.0007060185185185185</v>
      </c>
      <c r="L73" s="63" t="n"/>
      <c r="M73" s="63" t="n"/>
    </row>
    <row r="74">
      <c r="K74" s="651" t="n">
        <v>0.0007175925925925926</v>
      </c>
      <c r="L74" s="63" t="n"/>
      <c r="M74" s="63" t="n"/>
    </row>
    <row r="75">
      <c r="K75" s="651" t="n">
        <v>0.0007291666666666667</v>
      </c>
      <c r="L75" s="63" t="n"/>
      <c r="M75" s="63" t="n"/>
    </row>
    <row r="76">
      <c r="K76" s="651" t="n">
        <v>0.0007407407407407407</v>
      </c>
      <c r="L76" s="63" t="n"/>
      <c r="M76" s="63" t="n"/>
    </row>
    <row r="77">
      <c r="K77" s="651" t="n">
        <v>0.0007523148148148148</v>
      </c>
      <c r="L77" s="63" t="n"/>
      <c r="M77" s="63" t="n"/>
    </row>
    <row r="78">
      <c r="K78" s="651" t="n">
        <v>0.0007638888888888889</v>
      </c>
      <c r="L78" s="63" t="n"/>
      <c r="M78" s="63" t="n"/>
    </row>
    <row r="79">
      <c r="K79" s="651" t="n">
        <v>0.0007754629629629629</v>
      </c>
      <c r="L79" s="63" t="n"/>
      <c r="M79" s="63" t="n"/>
    </row>
    <row r="80">
      <c r="K80" s="651" t="n">
        <v>0.000787037037037037</v>
      </c>
      <c r="L80" s="63" t="n"/>
      <c r="M80" s="63" t="n"/>
    </row>
    <row r="81">
      <c r="K81" s="651" t="n">
        <v>0.0007986111111111112</v>
      </c>
      <c r="L81" s="63" t="n"/>
      <c r="M81" s="63" t="n"/>
    </row>
    <row r="82">
      <c r="K82" s="651" t="n">
        <v>0.0008101851851851852</v>
      </c>
      <c r="L82" s="63" t="n"/>
      <c r="M82" s="63" t="n"/>
    </row>
    <row r="83">
      <c r="K83" s="651" t="n">
        <v>0.0008217592592592593</v>
      </c>
      <c r="L83" s="63" t="n"/>
      <c r="M83" s="63" t="n"/>
    </row>
    <row r="84">
      <c r="K84" s="651" t="n">
        <v>0.0008333333333333334</v>
      </c>
      <c r="L84" s="63" t="n"/>
      <c r="M84" s="63" t="n"/>
    </row>
    <row r="85">
      <c r="K85" s="651" t="n">
        <v>0.0008449074074074074</v>
      </c>
      <c r="L85" s="63" t="n"/>
      <c r="M85" s="63" t="n"/>
    </row>
    <row r="86">
      <c r="K86" s="651" t="n">
        <v>0.0008564814814814815</v>
      </c>
      <c r="L86" s="63" t="n"/>
      <c r="M86" s="63" t="n"/>
    </row>
    <row r="87">
      <c r="K87" s="651" t="n">
        <v>0.0008680555555555555</v>
      </c>
      <c r="L87" s="63" t="n"/>
      <c r="M87" s="63" t="n"/>
    </row>
    <row r="88">
      <c r="K88" s="651" t="n">
        <v>0.0008796296296296296</v>
      </c>
      <c r="L88" s="63" t="n"/>
      <c r="M88" s="63" t="n"/>
    </row>
    <row r="89">
      <c r="K89" s="651" t="n">
        <v>0.0008912037037037037</v>
      </c>
      <c r="L89" s="63" t="n"/>
      <c r="M89" s="63" t="n"/>
    </row>
    <row r="90">
      <c r="K90" s="651" t="n">
        <v>0.0009027777777777777</v>
      </c>
      <c r="L90" s="63" t="n"/>
      <c r="M90" s="63" t="n"/>
    </row>
    <row r="91">
      <c r="K91" s="651" t="n">
        <v>0.0009143518518518518</v>
      </c>
      <c r="L91" s="63" t="n"/>
      <c r="M91" s="63" t="n"/>
    </row>
    <row r="92">
      <c r="K92" s="651" t="n">
        <v>0.000925925925925926</v>
      </c>
      <c r="L92" s="63" t="n"/>
      <c r="M92" s="63" t="n"/>
    </row>
    <row r="93">
      <c r="K93" s="651" t="n">
        <v>0.0009375</v>
      </c>
      <c r="L93" s="63" t="n"/>
      <c r="M93" s="63" t="n"/>
    </row>
    <row r="94">
      <c r="K94" s="651" t="n">
        <v>0.0009490740740740741</v>
      </c>
      <c r="L94" s="63" t="n"/>
      <c r="M94" s="63" t="n"/>
    </row>
    <row r="95">
      <c r="K95" s="651" t="n">
        <v>0.0009606481481481482</v>
      </c>
      <c r="L95" s="63" t="n"/>
      <c r="M95" s="63" t="n"/>
    </row>
    <row r="96">
      <c r="K96" s="651" t="n">
        <v>0.0009722222222222222</v>
      </c>
      <c r="L96" s="63" t="n"/>
      <c r="M96" s="63" t="n"/>
    </row>
    <row r="97">
      <c r="K97" s="651" t="n">
        <v>0.0009837962962962962</v>
      </c>
      <c r="L97" s="63" t="n"/>
      <c r="M97" s="63" t="n"/>
    </row>
    <row r="98">
      <c r="K98" s="651" t="n">
        <v>0.0009953703703703704</v>
      </c>
      <c r="L98" s="63" t="n"/>
      <c r="M98" s="63" t="n"/>
    </row>
    <row r="99">
      <c r="K99" s="651" t="n">
        <v>0.001006944444444444</v>
      </c>
      <c r="L99" s="63" t="n"/>
      <c r="M99" s="63" t="n"/>
    </row>
    <row r="100">
      <c r="K100" s="651" t="n">
        <v>0.001018518518518518</v>
      </c>
      <c r="L100" s="63" t="n"/>
      <c r="M100" s="63" t="n"/>
    </row>
    <row r="101">
      <c r="K101" s="651" t="n">
        <v>0.001030092592592593</v>
      </c>
      <c r="L101" s="63" t="n"/>
      <c r="M101" s="63" t="n"/>
    </row>
    <row r="102">
      <c r="K102" s="651" t="n">
        <v>0.001041666666666667</v>
      </c>
      <c r="L102" s="63" t="n"/>
      <c r="M102" s="63" t="n"/>
    </row>
    <row r="103">
      <c r="K103" s="651" t="n">
        <v>0.001053240740740741</v>
      </c>
      <c r="L103" s="63" t="n"/>
      <c r="M103" s="63" t="n"/>
    </row>
    <row r="104">
      <c r="K104" s="651" t="n">
        <v>0.001064814814814815</v>
      </c>
      <c r="L104" s="63" t="n"/>
      <c r="M104" s="63" t="n"/>
    </row>
    <row r="105">
      <c r="K105" s="651" t="n">
        <v>0.001076388888888889</v>
      </c>
      <c r="L105" s="63" t="n"/>
      <c r="M105" s="63" t="n"/>
    </row>
    <row r="106">
      <c r="K106" s="651" t="n">
        <v>0.001087962962962963</v>
      </c>
      <c r="L106" s="63" t="n"/>
      <c r="M106" s="63" t="n"/>
    </row>
    <row r="107">
      <c r="K107" s="651" t="n">
        <v>0.001099537037037037</v>
      </c>
      <c r="L107" s="63" t="n"/>
      <c r="M107" s="63" t="n"/>
    </row>
    <row r="108">
      <c r="K108" s="651" t="n">
        <v>0.001111111111111111</v>
      </c>
      <c r="L108" s="63" t="n"/>
      <c r="M108" s="63" t="n"/>
    </row>
    <row r="109">
      <c r="K109" s="651" t="n">
        <v>0.001122685185185185</v>
      </c>
      <c r="L109" s="63" t="n"/>
      <c r="M109" s="63" t="n"/>
    </row>
    <row r="110">
      <c r="K110" s="651" t="n">
        <v>0.001134259259259259</v>
      </c>
      <c r="L110" s="63" t="n"/>
      <c r="M110" s="63" t="n"/>
    </row>
    <row r="111">
      <c r="K111" s="651" t="n">
        <v>0.001145833333333333</v>
      </c>
      <c r="L111" s="63" t="n"/>
      <c r="M111" s="63" t="n"/>
    </row>
    <row r="112">
      <c r="K112" s="651" t="n">
        <v>0.001157407407407407</v>
      </c>
      <c r="L112" s="63" t="n"/>
      <c r="M112" s="63" t="n"/>
    </row>
    <row r="113">
      <c r="K113" s="651" t="n">
        <v>0.001168981481481482</v>
      </c>
      <c r="L113" s="63" t="n"/>
      <c r="M113" s="63" t="n"/>
    </row>
    <row r="114">
      <c r="K114" s="651" t="n">
        <v>0.001180555555555556</v>
      </c>
      <c r="L114" s="63" t="n"/>
      <c r="M114" s="63" t="n"/>
    </row>
    <row r="115">
      <c r="K115" s="651" t="n">
        <v>0.00119212962962963</v>
      </c>
      <c r="L115" s="63" t="n"/>
      <c r="M115" s="63" t="n"/>
    </row>
    <row r="116">
      <c r="K116" s="651" t="n">
        <v>0.001203703703703704</v>
      </c>
      <c r="L116" s="63" t="n"/>
      <c r="M116" s="63" t="n"/>
    </row>
    <row r="117">
      <c r="K117" s="651" t="n">
        <v>0.001215277777777778</v>
      </c>
      <c r="L117" s="63" t="n"/>
      <c r="M117" s="63" t="n"/>
    </row>
    <row r="118">
      <c r="K118" s="651" t="n">
        <v>0.001226851851851852</v>
      </c>
      <c r="L118" s="63" t="n"/>
      <c r="M118" s="63" t="n"/>
    </row>
    <row r="119">
      <c r="K119" s="651" t="n">
        <v>0.001238425925925926</v>
      </c>
      <c r="L119" s="63" t="n"/>
      <c r="M119" s="63" t="n"/>
    </row>
    <row r="120">
      <c r="K120" s="651" t="n">
        <v>0.00125</v>
      </c>
      <c r="L120" s="63" t="n"/>
      <c r="M120" s="63" t="n"/>
    </row>
    <row r="121">
      <c r="K121" s="651" t="n">
        <v>0.001261574074074074</v>
      </c>
      <c r="L121" s="63" t="n"/>
      <c r="M121" s="63" t="n"/>
    </row>
    <row r="122">
      <c r="K122" s="651" t="n">
        <v>0.001273148148148148</v>
      </c>
      <c r="L122" s="63" t="n"/>
      <c r="M122" s="63" t="n"/>
    </row>
    <row r="123">
      <c r="K123" s="651" t="n">
        <v>0.001284722222222222</v>
      </c>
      <c r="L123" s="63" t="n"/>
      <c r="M123" s="63" t="n"/>
    </row>
    <row r="124">
      <c r="K124" s="651" t="n">
        <v>0.001296296296296296</v>
      </c>
      <c r="L124" s="63" t="n"/>
      <c r="M124" s="63" t="n"/>
    </row>
    <row r="125">
      <c r="K125" s="651" t="n">
        <v>0.00130787037037037</v>
      </c>
      <c r="L125" s="63" t="n"/>
      <c r="M125" s="63" t="n"/>
    </row>
    <row r="126">
      <c r="K126" s="651" t="n">
        <v>0.001319444444444444</v>
      </c>
      <c r="L126" s="63" t="n"/>
      <c r="M126" s="63" t="n"/>
    </row>
    <row r="127">
      <c r="K127" s="651" t="n">
        <v>0.001331018518518518</v>
      </c>
      <c r="L127" s="63" t="n"/>
      <c r="M127" s="63" t="n"/>
    </row>
    <row r="128">
      <c r="K128" s="651" t="n">
        <v>0.001342592592592592</v>
      </c>
      <c r="L128" s="63" t="n"/>
      <c r="M128" s="63" t="n"/>
    </row>
    <row r="129">
      <c r="K129" s="651" t="n">
        <v>0.001354166666666667</v>
      </c>
      <c r="L129" s="63" t="n"/>
      <c r="M129" s="63" t="n"/>
    </row>
    <row r="130">
      <c r="K130" s="651" t="n">
        <v>0.001365740740740741</v>
      </c>
      <c r="L130" s="63" t="n"/>
      <c r="M130" s="63" t="n"/>
    </row>
    <row r="131">
      <c r="K131" s="651" t="n">
        <v>0.001377314814814815</v>
      </c>
      <c r="L131" s="63" t="n"/>
      <c r="M131" s="63" t="n"/>
    </row>
    <row r="132">
      <c r="K132" s="651" t="n">
        <v>0.001388888888888889</v>
      </c>
      <c r="L132" s="63" t="n"/>
      <c r="M132" s="63" t="n"/>
    </row>
    <row r="133">
      <c r="K133" s="651" t="n">
        <v>0.001400462962962963</v>
      </c>
      <c r="L133" s="63" t="n"/>
      <c r="M133" s="63" t="n"/>
    </row>
    <row r="134">
      <c r="K134" s="651" t="n">
        <v>0.001412037037037037</v>
      </c>
      <c r="L134" s="63" t="n"/>
      <c r="M134" s="63" t="n"/>
    </row>
    <row r="135">
      <c r="K135" s="651" t="n">
        <v>0.001423611111111111</v>
      </c>
      <c r="L135" s="63" t="n"/>
      <c r="M135" s="63" t="n"/>
    </row>
    <row r="136">
      <c r="K136" s="651" t="n">
        <v>0.001435185185185185</v>
      </c>
      <c r="L136" s="63" t="n"/>
      <c r="M136" s="63" t="n"/>
    </row>
    <row r="137">
      <c r="K137" s="651" t="n">
        <v>0.001446759259259259</v>
      </c>
      <c r="L137" s="63" t="n"/>
      <c r="M137" s="63" t="n"/>
    </row>
    <row r="138">
      <c r="K138" s="651" t="n">
        <v>0.001458333333333333</v>
      </c>
      <c r="L138" s="63" t="n"/>
      <c r="M138" s="63" t="n"/>
    </row>
    <row r="139">
      <c r="K139" s="651" t="n">
        <v>0.001469907407407407</v>
      </c>
      <c r="L139" s="63" t="n"/>
      <c r="M139" s="63" t="n"/>
    </row>
    <row r="140">
      <c r="K140" s="651" t="n">
        <v>0.001481481481481481</v>
      </c>
      <c r="L140" s="63" t="n"/>
      <c r="M140" s="63" t="n"/>
    </row>
    <row r="141">
      <c r="K141" s="651" t="n">
        <v>0.001493055555555556</v>
      </c>
      <c r="L141" s="63" t="n"/>
      <c r="M141" s="63" t="n"/>
    </row>
    <row r="142">
      <c r="K142" s="651" t="n">
        <v>0.00150462962962963</v>
      </c>
      <c r="L142" s="63" t="n"/>
      <c r="M142" s="63" t="n"/>
    </row>
    <row r="143">
      <c r="K143" s="651" t="n">
        <v>0.001516203703703704</v>
      </c>
      <c r="L143" s="63" t="n"/>
      <c r="M143" s="63" t="n"/>
    </row>
    <row r="144">
      <c r="K144" s="651" t="n">
        <v>0.001527777777777778</v>
      </c>
      <c r="L144" s="63" t="n"/>
      <c r="M144" s="63" t="n"/>
    </row>
    <row r="145">
      <c r="K145" s="651" t="n">
        <v>0.001539351851851852</v>
      </c>
      <c r="L145" s="63" t="n"/>
      <c r="M145" s="63" t="n"/>
    </row>
    <row r="146">
      <c r="K146" s="651" t="n">
        <v>0.001550925925925926</v>
      </c>
      <c r="L146" s="63" t="n"/>
      <c r="M146" s="63" t="n"/>
    </row>
    <row r="147">
      <c r="K147" s="651" t="n">
        <v>0.0015625</v>
      </c>
      <c r="L147" s="63" t="n"/>
      <c r="M147" s="63" t="n"/>
    </row>
    <row r="148">
      <c r="K148" s="651" t="n">
        <v>0.001574074074074074</v>
      </c>
      <c r="L148" s="63" t="n"/>
      <c r="M148" s="63" t="n"/>
    </row>
    <row r="149">
      <c r="K149" s="651" t="n">
        <v>0.001585648148148148</v>
      </c>
      <c r="L149" s="63" t="n"/>
      <c r="M149" s="63" t="n"/>
    </row>
    <row r="150">
      <c r="K150" s="651" t="n">
        <v>0.001597222222222222</v>
      </c>
      <c r="L150" s="63" t="n"/>
      <c r="M150" s="63" t="n"/>
    </row>
    <row r="151">
      <c r="K151" s="651" t="n">
        <v>0.001608796296296296</v>
      </c>
      <c r="L151" s="63" t="n"/>
      <c r="M151" s="63" t="n"/>
    </row>
    <row r="152">
      <c r="K152" s="651" t="n">
        <v>0.00162037037037037</v>
      </c>
      <c r="L152" s="63" t="n"/>
      <c r="M152" s="63" t="n"/>
    </row>
    <row r="153">
      <c r="K153" s="651" t="n">
        <v>0.001631944444444445</v>
      </c>
      <c r="L153" s="63" t="n"/>
      <c r="M153" s="63" t="n"/>
    </row>
    <row r="154">
      <c r="K154" s="651" t="n">
        <v>0.001643518518518519</v>
      </c>
      <c r="L154" s="63" t="n"/>
      <c r="M154" s="63" t="n"/>
    </row>
    <row r="155">
      <c r="K155" s="651" t="n">
        <v>0.001655092592592593</v>
      </c>
      <c r="L155" s="63" t="n"/>
      <c r="M155" s="63" t="n"/>
    </row>
    <row r="156">
      <c r="K156" s="651" t="n">
        <v>0.001666666666666667</v>
      </c>
      <c r="L156" s="63" t="n"/>
      <c r="M156" s="63" t="n"/>
    </row>
    <row r="157">
      <c r="K157" s="651" t="n">
        <v>0.001678240740740741</v>
      </c>
      <c r="L157" s="63" t="n"/>
      <c r="M157" s="63" t="n"/>
    </row>
    <row r="158">
      <c r="K158" s="651" t="n">
        <v>0.001689814814814815</v>
      </c>
      <c r="L158" s="63" t="n"/>
      <c r="M158" s="63" t="n"/>
    </row>
    <row r="159">
      <c r="K159" s="651" t="n">
        <v>0.001701388888888889</v>
      </c>
      <c r="L159" s="63" t="n"/>
      <c r="M159" s="63" t="n"/>
    </row>
    <row r="160">
      <c r="K160" s="651" t="n">
        <v>0.001712962962962963</v>
      </c>
      <c r="L160" s="63" t="n"/>
      <c r="M160" s="63" t="n"/>
    </row>
    <row r="161">
      <c r="K161" s="651" t="n">
        <v>0.001724537037037037</v>
      </c>
      <c r="L161" s="63" t="n"/>
      <c r="M161" s="63" t="n"/>
    </row>
    <row r="162">
      <c r="K162" s="651" t="n">
        <v>0.001736111111111111</v>
      </c>
      <c r="L162" s="63" t="n"/>
      <c r="M162" s="63" t="n"/>
    </row>
    <row r="163">
      <c r="K163" s="651" t="n">
        <v>0.001747685185185185</v>
      </c>
      <c r="L163" s="63" t="n"/>
      <c r="M163" s="63" t="n"/>
    </row>
    <row r="164">
      <c r="K164" s="651" t="n">
        <v>0.001759259259259259</v>
      </c>
      <c r="L164" s="63" t="n"/>
      <c r="M164" s="63" t="n"/>
    </row>
    <row r="165">
      <c r="K165" s="651" t="n">
        <v>0.001770833333333333</v>
      </c>
      <c r="L165" s="63" t="n"/>
      <c r="M165" s="63" t="n"/>
    </row>
    <row r="166">
      <c r="K166" s="651" t="n">
        <v>0.001782407407407407</v>
      </c>
      <c r="L166" s="63" t="n"/>
      <c r="M166" s="63" t="n"/>
    </row>
    <row r="167">
      <c r="K167" s="651" t="n">
        <v>0.001793981481481481</v>
      </c>
      <c r="L167" s="63" t="n"/>
      <c r="M167" s="63" t="n"/>
    </row>
    <row r="168">
      <c r="K168" s="651" t="n">
        <v>0.001805555555555555</v>
      </c>
      <c r="L168" s="63" t="n"/>
      <c r="M168" s="63" t="n"/>
    </row>
    <row r="169">
      <c r="K169" s="651" t="n">
        <v>0.00181712962962963</v>
      </c>
      <c r="L169" s="63" t="n"/>
      <c r="M169" s="63" t="n"/>
    </row>
    <row r="170">
      <c r="K170" s="651" t="n">
        <v>0.001828703703703704</v>
      </c>
      <c r="L170" s="63" t="n"/>
      <c r="M170" s="63" t="n"/>
    </row>
    <row r="171">
      <c r="K171" s="651" t="n">
        <v>0.001840277777777778</v>
      </c>
      <c r="L171" s="63" t="n"/>
      <c r="M171" s="63" t="n"/>
    </row>
    <row r="172">
      <c r="K172" s="651" t="n">
        <v>0.001851851851851852</v>
      </c>
      <c r="L172" s="63" t="n"/>
      <c r="M172" s="63" t="n"/>
    </row>
    <row r="173">
      <c r="K173" s="651" t="n">
        <v>0.001863425925925926</v>
      </c>
      <c r="L173" s="63" t="n"/>
      <c r="M173" s="63" t="n"/>
    </row>
    <row r="174">
      <c r="K174" s="651" t="n">
        <v>0.001875</v>
      </c>
      <c r="L174" s="63" t="n"/>
      <c r="M174" s="63" t="n"/>
    </row>
    <row r="175">
      <c r="K175" s="651" t="n">
        <v>0.001886574074074074</v>
      </c>
      <c r="L175" s="63" t="n"/>
      <c r="M175" s="63" t="n"/>
    </row>
    <row r="176">
      <c r="K176" s="651" t="n">
        <v>0.001898148148148148</v>
      </c>
      <c r="L176" s="63" t="n"/>
      <c r="M176" s="63" t="n"/>
    </row>
    <row r="177">
      <c r="K177" s="651" t="n">
        <v>0.001909722222222222</v>
      </c>
      <c r="L177" s="63" t="n"/>
      <c r="M177" s="63" t="n"/>
    </row>
    <row r="178">
      <c r="K178" s="651" t="n">
        <v>0.001921296296296296</v>
      </c>
      <c r="L178" s="63" t="n"/>
      <c r="M178" s="63" t="n"/>
    </row>
    <row r="179">
      <c r="K179" s="651" t="n">
        <v>0.00193287037037037</v>
      </c>
      <c r="L179" s="63" t="n"/>
      <c r="M179" s="63" t="n"/>
    </row>
    <row r="180">
      <c r="K180" s="651" t="n">
        <v>0.001944444444444444</v>
      </c>
      <c r="L180" s="63" t="n"/>
      <c r="M180" s="63" t="n"/>
    </row>
    <row r="181">
      <c r="K181" s="651" t="n">
        <v>0.001956018518518518</v>
      </c>
      <c r="L181" s="63" t="n"/>
      <c r="M181" s="63" t="n"/>
    </row>
    <row r="182">
      <c r="K182" s="651" t="n">
        <v>0.001967592592592592</v>
      </c>
      <c r="L182" s="63" t="n"/>
      <c r="M182" s="63" t="n"/>
    </row>
    <row r="183">
      <c r="K183" s="651" t="n">
        <v>0.001979166666666667</v>
      </c>
      <c r="L183" s="63" t="n"/>
      <c r="M183" s="63" t="n"/>
    </row>
    <row r="184">
      <c r="K184" s="651" t="n">
        <v>0.001990740740740741</v>
      </c>
      <c r="L184" s="63" t="n"/>
      <c r="M184" s="63" t="n"/>
    </row>
    <row r="185">
      <c r="K185" s="651" t="n">
        <v>0.002002314814814815</v>
      </c>
      <c r="L185" s="63" t="n"/>
      <c r="M185" s="63" t="n"/>
    </row>
    <row r="186">
      <c r="K186" s="651" t="n">
        <v>0.002013888888888889</v>
      </c>
      <c r="L186" s="63" t="n"/>
      <c r="M186" s="63" t="n"/>
    </row>
    <row r="187">
      <c r="K187" s="651" t="n">
        <v>0.002025462962962963</v>
      </c>
      <c r="L187" s="63" t="n"/>
      <c r="M187" s="63" t="n"/>
    </row>
    <row r="188">
      <c r="K188" s="651" t="n">
        <v>0.002037037037037037</v>
      </c>
      <c r="L188" s="63" t="n"/>
      <c r="M188" s="63" t="n"/>
    </row>
    <row r="189">
      <c r="K189" s="651" t="n">
        <v>0.002048611111111111</v>
      </c>
      <c r="L189" s="63" t="n"/>
      <c r="M189" s="63" t="n"/>
    </row>
    <row r="190">
      <c r="K190" s="651" t="n">
        <v>0.002060185185185185</v>
      </c>
      <c r="L190" s="63" t="n"/>
      <c r="M190" s="63" t="n"/>
    </row>
    <row r="191">
      <c r="K191" s="651" t="n">
        <v>0.002071759259259259</v>
      </c>
      <c r="L191" s="63" t="n"/>
      <c r="M191" s="63" t="n"/>
    </row>
    <row r="192">
      <c r="K192" s="651" t="n">
        <v>0.002083333333333333</v>
      </c>
      <c r="L192" s="63" t="n"/>
      <c r="M192" s="63" t="n"/>
    </row>
    <row r="193">
      <c r="K193" s="651" t="n">
        <v>0.002094907407407407</v>
      </c>
      <c r="L193" s="63" t="n"/>
      <c r="M193" s="63" t="n"/>
    </row>
    <row r="194">
      <c r="K194" s="651" t="n">
        <v>0.002106481481481481</v>
      </c>
      <c r="L194" s="63" t="n"/>
      <c r="M194" s="63" t="n"/>
    </row>
    <row r="195">
      <c r="K195" s="651" t="n">
        <v>0.002118055555555556</v>
      </c>
      <c r="L195" s="63" t="n"/>
      <c r="M195" s="63" t="n"/>
    </row>
    <row r="196">
      <c r="K196" s="651" t="n">
        <v>0.00212962962962963</v>
      </c>
      <c r="L196" s="63" t="n"/>
      <c r="M196" s="63" t="n"/>
    </row>
    <row r="197">
      <c r="K197" s="651" t="n">
        <v>0.002141203703703704</v>
      </c>
      <c r="L197" s="63" t="n"/>
      <c r="M197" s="63" t="n"/>
    </row>
    <row r="198">
      <c r="K198" s="651" t="n">
        <v>0.002152777777777778</v>
      </c>
      <c r="L198" s="63" t="n"/>
      <c r="M198" s="63" t="n"/>
    </row>
    <row r="199">
      <c r="K199" s="651" t="n">
        <v>0.002164351851851852</v>
      </c>
      <c r="L199" s="63" t="n"/>
      <c r="M199" s="63" t="n"/>
    </row>
    <row r="200">
      <c r="K200" s="651" t="n">
        <v>0.002175925925925926</v>
      </c>
      <c r="L200" s="63" t="n"/>
      <c r="M200" s="63" t="n"/>
    </row>
    <row r="201">
      <c r="K201" s="651" t="n">
        <v>0.0021875</v>
      </c>
      <c r="L201" s="63" t="n"/>
      <c r="M201" s="63" t="n"/>
    </row>
    <row r="202">
      <c r="K202" s="651" t="n">
        <v>0.002199074074074074</v>
      </c>
      <c r="L202" s="63" t="n"/>
      <c r="M202" s="63" t="n"/>
    </row>
    <row r="203">
      <c r="K203" s="651" t="n">
        <v>0.002210648148148148</v>
      </c>
      <c r="L203" s="63" t="n"/>
      <c r="M203" s="63" t="n"/>
    </row>
    <row r="204">
      <c r="K204" s="651" t="n">
        <v>0.002222222222222222</v>
      </c>
      <c r="L204" s="63" t="n"/>
      <c r="M204" s="63" t="n"/>
    </row>
    <row r="205">
      <c r="K205" s="651" t="n">
        <v>0.002233796296296296</v>
      </c>
      <c r="L205" s="63" t="n"/>
      <c r="M205" s="63" t="n"/>
    </row>
    <row r="206">
      <c r="K206" s="651" t="n">
        <v>0.00224537037037037</v>
      </c>
      <c r="L206" s="63" t="n"/>
      <c r="M206" s="63" t="n"/>
    </row>
    <row r="207">
      <c r="K207" s="651" t="n">
        <v>0.002256944444444444</v>
      </c>
      <c r="L207" s="63" t="n"/>
      <c r="M207" s="63" t="n"/>
    </row>
    <row r="208">
      <c r="K208" s="651" t="n">
        <v>0.002268518518518519</v>
      </c>
      <c r="L208" s="63" t="n"/>
      <c r="M208" s="63" t="n"/>
    </row>
    <row r="209">
      <c r="K209" s="651" t="n">
        <v>0.002280092592592593</v>
      </c>
      <c r="L209" s="63" t="n"/>
      <c r="M209" s="63" t="n"/>
    </row>
    <row r="210">
      <c r="K210" s="651" t="n">
        <v>0.002291666666666667</v>
      </c>
      <c r="L210" s="63" t="n"/>
      <c r="M210" s="63" t="n"/>
    </row>
    <row r="211">
      <c r="K211" s="651" t="n">
        <v>0.002303240740740741</v>
      </c>
      <c r="L211" s="63" t="n"/>
      <c r="M211" s="63" t="n"/>
    </row>
    <row r="212">
      <c r="K212" s="651" t="n">
        <v>0.002314814814814815</v>
      </c>
      <c r="L212" s="63" t="n"/>
      <c r="M212" s="63" t="n"/>
    </row>
    <row r="213">
      <c r="K213" s="651" t="n">
        <v>0.002326388888888889</v>
      </c>
      <c r="L213" s="63" t="n"/>
      <c r="M213" s="63" t="n"/>
    </row>
    <row r="214">
      <c r="K214" s="651" t="n">
        <v>0.002337962962962963</v>
      </c>
      <c r="L214" s="63" t="n"/>
      <c r="M214" s="63" t="n"/>
    </row>
    <row r="215">
      <c r="K215" s="651" t="n">
        <v>0.002349537037037037</v>
      </c>
      <c r="L215" s="63" t="n"/>
      <c r="M215" s="63" t="n"/>
    </row>
    <row r="216">
      <c r="K216" s="651" t="n">
        <v>0.002361111111111111</v>
      </c>
      <c r="L216" s="63" t="n"/>
      <c r="M216" s="63" t="n"/>
    </row>
    <row r="217">
      <c r="K217" s="651" t="n">
        <v>0.002372685185185185</v>
      </c>
      <c r="L217" s="63" t="n"/>
      <c r="M217" s="63" t="n"/>
    </row>
    <row r="218">
      <c r="K218" s="651" t="n">
        <v>0.002384259259259259</v>
      </c>
      <c r="L218" s="63" t="n"/>
      <c r="M218" s="63" t="n"/>
    </row>
    <row r="219">
      <c r="K219" s="651" t="n">
        <v>0.002395833333333333</v>
      </c>
      <c r="L219" s="63" t="n"/>
      <c r="M219" s="63" t="n"/>
    </row>
    <row r="220">
      <c r="K220" s="651" t="n">
        <v>0.002407407407407408</v>
      </c>
      <c r="L220" s="63" t="n"/>
      <c r="M220" s="63" t="n"/>
    </row>
    <row r="221">
      <c r="K221" s="651" t="n">
        <v>0.002418981481481482</v>
      </c>
      <c r="L221" s="63" t="n"/>
      <c r="M221" s="63" t="n"/>
    </row>
    <row r="222">
      <c r="K222" s="651" t="n">
        <v>0.002430555555555556</v>
      </c>
      <c r="L222" s="63" t="n"/>
      <c r="M222" s="63" t="n"/>
    </row>
    <row r="223">
      <c r="K223" s="651" t="n">
        <v>0.00244212962962963</v>
      </c>
      <c r="L223" s="63" t="n"/>
      <c r="M223" s="63" t="n"/>
    </row>
    <row r="224">
      <c r="K224" s="651" t="n">
        <v>0.002453703703703704</v>
      </c>
      <c r="L224" s="63" t="n"/>
      <c r="M224" s="63" t="n"/>
    </row>
    <row r="225">
      <c r="K225" s="651" t="n">
        <v>0.002465277777777778</v>
      </c>
      <c r="L225" s="63" t="n"/>
      <c r="M225" s="63" t="n"/>
    </row>
    <row r="226">
      <c r="K226" s="651" t="n">
        <v>0.002476851851851852</v>
      </c>
      <c r="L226" s="63" t="n"/>
      <c r="M226" s="63" t="n"/>
    </row>
    <row r="227">
      <c r="K227" s="651" t="n">
        <v>0.002488425925925926</v>
      </c>
      <c r="L227" s="63" t="n"/>
      <c r="M227" s="63" t="n"/>
    </row>
    <row r="228">
      <c r="K228" s="651" t="n">
        <v>0.0025</v>
      </c>
      <c r="L228" s="63" t="n"/>
      <c r="M228" s="63" t="n"/>
    </row>
    <row r="229">
      <c r="K229" s="651" t="n">
        <v>0.002511574074074074</v>
      </c>
      <c r="L229" s="63" t="n"/>
      <c r="M229" s="63" t="n"/>
    </row>
    <row r="230">
      <c r="K230" s="651" t="n">
        <v>0.002523148148148148</v>
      </c>
      <c r="L230" s="63" t="n"/>
      <c r="M230" s="63" t="n"/>
    </row>
    <row r="231">
      <c r="K231" s="651" t="n">
        <v>0.002534722222222222</v>
      </c>
      <c r="L231" s="63" t="n"/>
      <c r="M231" s="63" t="n"/>
    </row>
    <row r="232">
      <c r="K232" s="651" t="n">
        <v>0.002546296296296297</v>
      </c>
      <c r="L232" s="63" t="n"/>
      <c r="M232" s="63" t="n"/>
    </row>
    <row r="233">
      <c r="K233" s="651" t="n">
        <v>0.002557870370370371</v>
      </c>
      <c r="L233" s="63" t="n"/>
      <c r="M233" s="63" t="n"/>
    </row>
    <row r="234">
      <c r="K234" s="651" t="n">
        <v>0.002569444444444445</v>
      </c>
      <c r="L234" s="63" t="n"/>
      <c r="M234" s="63" t="n"/>
    </row>
    <row r="235">
      <c r="K235" s="651" t="n">
        <v>0.002581018518518519</v>
      </c>
      <c r="L235" s="63" t="n"/>
      <c r="M235" s="63" t="n"/>
    </row>
    <row r="236">
      <c r="K236" s="651" t="n">
        <v>0.002592592592592593</v>
      </c>
      <c r="L236" s="63" t="n"/>
      <c r="M236" s="63" t="n"/>
    </row>
    <row r="237">
      <c r="K237" s="651" t="n">
        <v>0.002604166666666667</v>
      </c>
      <c r="L237" s="63" t="n"/>
      <c r="M237" s="63" t="n"/>
    </row>
    <row r="238">
      <c r="K238" s="651" t="n">
        <v>0.002615740740740741</v>
      </c>
      <c r="L238" s="63" t="n"/>
      <c r="M238" s="63" t="n"/>
    </row>
    <row r="239">
      <c r="K239" s="651" t="n">
        <v>0.002627314814814815</v>
      </c>
      <c r="L239" s="63" t="n"/>
      <c r="M239" s="63" t="n"/>
    </row>
    <row r="240">
      <c r="K240" s="651" t="n">
        <v>0.002638888888888889</v>
      </c>
      <c r="L240" s="63" t="n"/>
      <c r="M240" s="63" t="n"/>
    </row>
    <row r="241">
      <c r="K241" s="651" t="n">
        <v>0.002650462962962963</v>
      </c>
      <c r="L241" s="63" t="n"/>
      <c r="M241" s="63" t="n"/>
    </row>
    <row r="242">
      <c r="K242" s="651" t="n">
        <v>0.002662037037037037</v>
      </c>
      <c r="L242" s="63" t="n"/>
      <c r="M242" s="63" t="n"/>
    </row>
    <row r="243">
      <c r="K243" s="651" t="n">
        <v>0.002673611111111111</v>
      </c>
      <c r="L243" s="63" t="n"/>
      <c r="M243" s="63" t="n"/>
    </row>
    <row r="244">
      <c r="K244" s="651" t="n">
        <v>0.002685185185185185</v>
      </c>
      <c r="L244" s="63" t="n"/>
      <c r="M244" s="63" t="n"/>
    </row>
    <row r="245">
      <c r="K245" s="651" t="n">
        <v>0.002696759259259259</v>
      </c>
      <c r="L245" s="63" t="n"/>
      <c r="M245" s="63" t="n"/>
    </row>
    <row r="246">
      <c r="K246" s="651" t="n">
        <v>0.002708333333333333</v>
      </c>
      <c r="L246" s="63" t="n"/>
      <c r="M246" s="63" t="n"/>
    </row>
    <row r="247">
      <c r="K247" s="651" t="n">
        <v>0.002719907407407407</v>
      </c>
      <c r="L247" s="63" t="n"/>
      <c r="M247" s="63" t="n"/>
    </row>
    <row r="248">
      <c r="K248" s="651" t="n">
        <v>0.002731481481481481</v>
      </c>
      <c r="L248" s="63" t="n"/>
      <c r="M248" s="63" t="n"/>
    </row>
    <row r="249">
      <c r="K249" s="651" t="n">
        <v>0.002743055555555555</v>
      </c>
      <c r="L249" s="63" t="n"/>
      <c r="M249" s="63" t="n"/>
    </row>
    <row r="250">
      <c r="K250" s="651" t="n">
        <v>0.002754629629629629</v>
      </c>
      <c r="L250" s="63" t="n"/>
      <c r="M250" s="63" t="n"/>
    </row>
    <row r="251">
      <c r="K251" s="651" t="n">
        <v>0.002766203703703704</v>
      </c>
      <c r="L251" s="63" t="n"/>
      <c r="M251" s="63" t="n"/>
    </row>
    <row r="252">
      <c r="K252" s="651" t="n">
        <v>0.002777777777777778</v>
      </c>
      <c r="L252" s="63" t="n"/>
      <c r="M252" s="63" t="n"/>
    </row>
    <row r="253">
      <c r="K253" s="651" t="n">
        <v>0.002789351851851852</v>
      </c>
      <c r="L253" s="63" t="n"/>
      <c r="M253" s="63" t="n"/>
    </row>
    <row r="254">
      <c r="K254" s="651" t="n">
        <v>0.002800925925925926</v>
      </c>
      <c r="L254" s="63" t="n"/>
      <c r="M254" s="63" t="n"/>
    </row>
    <row r="255">
      <c r="K255" s="651" t="n">
        <v>0.0028125</v>
      </c>
      <c r="L255" s="63" t="n"/>
      <c r="M255" s="63" t="n"/>
    </row>
    <row r="256">
      <c r="K256" s="651" t="n">
        <v>0.002824074074074074</v>
      </c>
      <c r="L256" s="63" t="n"/>
      <c r="M256" s="63" t="n"/>
    </row>
    <row r="257">
      <c r="K257" s="651" t="n">
        <v>0.002835648148148148</v>
      </c>
      <c r="L257" s="63" t="n"/>
      <c r="M257" s="63" t="n"/>
    </row>
    <row r="258">
      <c r="K258" s="651" t="n">
        <v>0.002847222222222222</v>
      </c>
      <c r="L258" s="63" t="n"/>
      <c r="M258" s="63" t="n"/>
    </row>
    <row r="259">
      <c r="K259" s="651" t="n">
        <v>0.002858796296296296</v>
      </c>
      <c r="L259" s="63" t="n"/>
      <c r="M259" s="63" t="n"/>
    </row>
    <row r="260">
      <c r="K260" s="651" t="n">
        <v>0.00287037037037037</v>
      </c>
      <c r="L260" s="63" t="n"/>
      <c r="M260" s="63" t="n"/>
    </row>
    <row r="261">
      <c r="K261" s="651" t="n">
        <v>0.002881944444444444</v>
      </c>
      <c r="L261" s="63" t="n"/>
      <c r="M261" s="63" t="n"/>
    </row>
    <row r="262">
      <c r="K262" s="651" t="n">
        <v>0.002893518518518518</v>
      </c>
      <c r="L262" s="63" t="n"/>
      <c r="M262" s="63" t="n"/>
    </row>
    <row r="263">
      <c r="K263" s="651" t="n">
        <v>0.002905092592592593</v>
      </c>
      <c r="L263" s="63" t="n"/>
      <c r="M263" s="63" t="n"/>
    </row>
    <row r="264">
      <c r="K264" s="651" t="n">
        <v>0.002916666666666667</v>
      </c>
      <c r="L264" s="63" t="n"/>
      <c r="M264" s="63" t="n"/>
    </row>
    <row r="265">
      <c r="K265" s="651" t="n">
        <v>0.002928240740740741</v>
      </c>
      <c r="L265" s="63" t="n"/>
      <c r="M265" s="63" t="n"/>
    </row>
    <row r="266">
      <c r="K266" s="651" t="n">
        <v>0.002939814814814815</v>
      </c>
      <c r="L266" s="63" t="n"/>
      <c r="M266" s="63" t="n"/>
    </row>
    <row r="267">
      <c r="K267" s="651" t="n">
        <v>0.002951388888888889</v>
      </c>
      <c r="L267" s="63" t="n"/>
      <c r="M267" s="63" t="n"/>
    </row>
    <row r="268">
      <c r="K268" s="651" t="n">
        <v>0.002962962962962963</v>
      </c>
      <c r="L268" s="63" t="n"/>
      <c r="M268" s="63" t="n"/>
    </row>
    <row r="269">
      <c r="K269" s="651" t="n">
        <v>0.002974537037037037</v>
      </c>
      <c r="L269" s="63" t="n"/>
      <c r="M269" s="63" t="n"/>
    </row>
    <row r="270">
      <c r="K270" s="651" t="n">
        <v>0.002986111111111111</v>
      </c>
      <c r="L270" s="63" t="n"/>
      <c r="M270" s="63" t="n"/>
    </row>
    <row r="271">
      <c r="K271" s="651" t="n">
        <v>0.002997685185185185</v>
      </c>
      <c r="L271" s="63" t="n"/>
      <c r="M271" s="63" t="n"/>
    </row>
    <row r="272">
      <c r="K272" s="651" t="n">
        <v>0.003009259259259259</v>
      </c>
      <c r="L272" s="63" t="n"/>
      <c r="M272" s="63" t="n"/>
    </row>
    <row r="273">
      <c r="K273" s="651" t="n">
        <v>0.003020833333333333</v>
      </c>
      <c r="L273" s="63" t="n"/>
      <c r="M273" s="63" t="n"/>
    </row>
    <row r="274">
      <c r="K274" s="651" t="n">
        <v>0.003032407407407407</v>
      </c>
      <c r="L274" s="63" t="n"/>
      <c r="M274" s="63" t="n"/>
    </row>
    <row r="275">
      <c r="K275" s="651" t="n">
        <v>0.003043981481481481</v>
      </c>
      <c r="L275" s="63" t="n"/>
      <c r="M275" s="63" t="n"/>
    </row>
    <row r="276">
      <c r="K276" s="651" t="n">
        <v>0.003055555555555556</v>
      </c>
      <c r="L276" s="63" t="n"/>
      <c r="M276" s="63" t="n"/>
    </row>
    <row r="277">
      <c r="K277" s="651" t="n">
        <v>0.00306712962962963</v>
      </c>
      <c r="L277" s="63" t="n"/>
      <c r="M277" s="63" t="n"/>
    </row>
    <row r="278">
      <c r="K278" s="651" t="n">
        <v>0.003078703703703704</v>
      </c>
      <c r="L278" s="63" t="n"/>
      <c r="M278" s="63" t="n"/>
    </row>
    <row r="279">
      <c r="K279" s="651" t="n">
        <v>0.003090277777777778</v>
      </c>
      <c r="L279" s="63" t="n"/>
      <c r="M279" s="63" t="n"/>
    </row>
    <row r="280">
      <c r="K280" s="651" t="n">
        <v>0.003101851851851852</v>
      </c>
      <c r="L280" s="63" t="n"/>
      <c r="M280" s="63" t="n"/>
    </row>
    <row r="281">
      <c r="K281" s="651" t="n">
        <v>0.003113425925925926</v>
      </c>
      <c r="L281" s="63" t="n"/>
      <c r="M281" s="63" t="n"/>
    </row>
    <row r="282">
      <c r="K282" s="651" t="n">
        <v>0.003125</v>
      </c>
      <c r="L282" s="63" t="n"/>
      <c r="M282" s="63" t="n"/>
    </row>
    <row r="283">
      <c r="K283" s="651" t="n">
        <v>0.003136574074074074</v>
      </c>
      <c r="L283" s="63" t="n"/>
      <c r="M283" s="63" t="n"/>
    </row>
    <row r="284">
      <c r="K284" s="651" t="n">
        <v>0.003148148148148148</v>
      </c>
      <c r="L284" s="63" t="n"/>
      <c r="M284" s="63" t="n"/>
    </row>
    <row r="285">
      <c r="K285" s="651" t="n">
        <v>0.003159722222222222</v>
      </c>
      <c r="L285" s="63" t="n"/>
      <c r="M285" s="63" t="n"/>
    </row>
    <row r="286">
      <c r="K286" s="651" t="n">
        <v>0.003171296296296296</v>
      </c>
      <c r="L286" s="63" t="n"/>
      <c r="M286" s="63" t="n"/>
    </row>
    <row r="287">
      <c r="K287" s="651" t="n">
        <v>0.00318287037037037</v>
      </c>
      <c r="L287" s="63" t="n"/>
      <c r="M287" s="63" t="n"/>
    </row>
    <row r="288">
      <c r="K288" s="651" t="n">
        <v>0.003194444444444445</v>
      </c>
      <c r="L288" s="63" t="n"/>
      <c r="M288" s="63" t="n"/>
    </row>
    <row r="289">
      <c r="K289" s="651" t="n">
        <v>0.003206018518518519</v>
      </c>
      <c r="L289" s="63" t="n"/>
      <c r="M289" s="63" t="n"/>
    </row>
    <row r="290">
      <c r="K290" s="651" t="n">
        <v>0.003217592592592593</v>
      </c>
      <c r="L290" s="63" t="n"/>
      <c r="M290" s="63" t="n"/>
    </row>
    <row r="291">
      <c r="K291" s="651" t="n">
        <v>0.003229166666666667</v>
      </c>
      <c r="L291" s="63" t="n"/>
      <c r="M291" s="63" t="n"/>
    </row>
    <row r="292">
      <c r="K292" s="651" t="n">
        <v>0.003240740740740741</v>
      </c>
      <c r="L292" s="63" t="n"/>
      <c r="M292" s="63" t="n"/>
    </row>
    <row r="293">
      <c r="K293" s="651" t="n">
        <v>0.003252314814814815</v>
      </c>
      <c r="L293" s="63" t="n"/>
      <c r="M293" s="63" t="n"/>
    </row>
    <row r="294">
      <c r="K294" s="651" t="n">
        <v>0.003263888888888889</v>
      </c>
      <c r="L294" s="63" t="n"/>
      <c r="M294" s="63" t="n"/>
    </row>
    <row r="295">
      <c r="K295" s="651" t="n">
        <v>0.003275462962962963</v>
      </c>
      <c r="L295" s="63" t="n"/>
      <c r="M295" s="63" t="n"/>
    </row>
    <row r="296">
      <c r="K296" s="651" t="n">
        <v>0.003287037037037037</v>
      </c>
      <c r="L296" s="63" t="n"/>
      <c r="M296" s="63" t="n"/>
    </row>
    <row r="297">
      <c r="K297" s="651" t="n">
        <v>0.003298611111111111</v>
      </c>
      <c r="L297" s="63" t="n"/>
      <c r="M297" s="63" t="n"/>
    </row>
    <row r="298">
      <c r="K298" s="651" t="n">
        <v>0.003310185185185185</v>
      </c>
      <c r="L298" s="63" t="n"/>
      <c r="M298" s="63" t="n"/>
    </row>
    <row r="299">
      <c r="K299" s="651" t="n">
        <v>0.003321759259259259</v>
      </c>
      <c r="L299" s="63" t="n"/>
      <c r="M299" s="63" t="n"/>
    </row>
    <row r="300">
      <c r="K300" s="651" t="n">
        <v>0.003333333333333334</v>
      </c>
      <c r="L300" s="63" t="n"/>
      <c r="M300" s="63" t="n"/>
    </row>
    <row r="301">
      <c r="K301" s="651" t="n">
        <v>0.003344907407407408</v>
      </c>
      <c r="L301" s="63" t="n"/>
      <c r="M301" s="63" t="n"/>
    </row>
    <row r="302">
      <c r="K302" s="651" t="n">
        <v>0.003356481481481482</v>
      </c>
      <c r="L302" s="63" t="n"/>
      <c r="M302" s="63" t="n"/>
    </row>
    <row r="303">
      <c r="K303" s="651" t="n">
        <v>0.003368055555555556</v>
      </c>
      <c r="L303" s="63" t="n"/>
      <c r="M303" s="63" t="n"/>
    </row>
    <row r="304">
      <c r="K304" s="651" t="n">
        <v>0.00337962962962963</v>
      </c>
      <c r="L304" s="63" t="n"/>
      <c r="M304" s="63" t="n"/>
    </row>
    <row r="305">
      <c r="K305" s="651" t="n">
        <v>0.003391203703703704</v>
      </c>
      <c r="L305" s="63" t="n"/>
      <c r="M305" s="63" t="n"/>
    </row>
    <row r="306">
      <c r="K306" s="651" t="n">
        <v>0.003402777777777778</v>
      </c>
      <c r="L306" s="63" t="n"/>
      <c r="M306" s="63" t="n"/>
    </row>
    <row r="307">
      <c r="K307" s="651" t="n">
        <v>0.003414351851851852</v>
      </c>
      <c r="L307" s="63" t="n"/>
      <c r="M307" s="63" t="n"/>
    </row>
    <row r="308">
      <c r="K308" s="651" t="n">
        <v>0.003425925925925926</v>
      </c>
      <c r="L308" s="63" t="n"/>
      <c r="M308" s="63" t="n"/>
    </row>
    <row r="309">
      <c r="K309" s="651" t="n">
        <v>0.0034375</v>
      </c>
      <c r="L309" s="63" t="n"/>
      <c r="M309" s="63" t="n"/>
    </row>
    <row r="310">
      <c r="K310" s="651" t="n">
        <v>0.003449074074074074</v>
      </c>
      <c r="L310" s="63" t="n"/>
      <c r="M310" s="63" t="n"/>
    </row>
    <row r="311">
      <c r="K311" s="651" t="n">
        <v>0.003460648148148148</v>
      </c>
      <c r="L311" s="63" t="n"/>
      <c r="M311" s="63" t="n"/>
    </row>
    <row r="312">
      <c r="K312" s="651" t="n">
        <v>0.003472222222222222</v>
      </c>
      <c r="L312" s="63" t="n"/>
      <c r="M312" s="63" t="n"/>
    </row>
    <row r="313">
      <c r="K313" s="651" t="n">
        <v>0.003483796296296296</v>
      </c>
      <c r="L313" s="63" t="n"/>
      <c r="M313" s="63" t="n"/>
    </row>
    <row r="314">
      <c r="K314" s="651" t="n">
        <v>0.00349537037037037</v>
      </c>
      <c r="L314" s="63" t="n"/>
      <c r="M314" s="63" t="n"/>
    </row>
    <row r="315">
      <c r="K315" s="651" t="n">
        <v>0.003506944444444444</v>
      </c>
      <c r="L315" s="63" t="n"/>
      <c r="M315" s="63" t="n"/>
    </row>
    <row r="316">
      <c r="K316" s="651" t="n">
        <v>0.003518518518518518</v>
      </c>
      <c r="L316" s="63" t="n"/>
      <c r="M316" s="63" t="n"/>
    </row>
    <row r="317">
      <c r="K317" s="651" t="n">
        <v>0.003530092592592592</v>
      </c>
      <c r="L317" s="63" t="n"/>
      <c r="M317" s="63" t="n"/>
    </row>
    <row r="318">
      <c r="K318" s="651" t="n">
        <v>0.003541666666666666</v>
      </c>
      <c r="L318" s="63" t="n"/>
      <c r="M318" s="63" t="n"/>
    </row>
    <row r="319">
      <c r="K319" s="651" t="n">
        <v>0.003553240740740741</v>
      </c>
      <c r="L319" s="63" t="n"/>
      <c r="M319" s="63" t="n"/>
    </row>
    <row r="320">
      <c r="K320" s="651" t="n">
        <v>0.003564814814814815</v>
      </c>
      <c r="L320" s="63" t="n"/>
      <c r="M320" s="63" t="n"/>
    </row>
    <row r="321">
      <c r="K321" s="651" t="n">
        <v>0.003576388888888889</v>
      </c>
      <c r="L321" s="63" t="n"/>
      <c r="M321" s="63" t="n"/>
    </row>
    <row r="322">
      <c r="K322" s="651" t="n">
        <v>0.003587962962962963</v>
      </c>
      <c r="L322" s="63" t="n"/>
      <c r="M322" s="63" t="n"/>
    </row>
    <row r="323">
      <c r="K323" s="651" t="n">
        <v>0.003599537037037037</v>
      </c>
      <c r="L323" s="63" t="n"/>
      <c r="M323" s="63" t="n"/>
    </row>
    <row r="324">
      <c r="K324" s="651" t="n">
        <v>0.003611111111111111</v>
      </c>
      <c r="L324" s="63" t="n"/>
      <c r="M324" s="63" t="n"/>
    </row>
    <row r="325">
      <c r="K325" s="651" t="n">
        <v>0.003622685185185185</v>
      </c>
      <c r="L325" s="63" t="n"/>
      <c r="M325" s="63" t="n"/>
    </row>
    <row r="326">
      <c r="K326" s="651" t="n">
        <v>0.003634259259259259</v>
      </c>
      <c r="L326" s="63" t="n"/>
      <c r="M326" s="63" t="n"/>
    </row>
    <row r="327">
      <c r="K327" s="651" t="n">
        <v>0.003645833333333333</v>
      </c>
      <c r="L327" s="63" t="n"/>
      <c r="M327" s="63" t="n"/>
    </row>
    <row r="328">
      <c r="K328" s="651" t="n">
        <v>0.003657407407407407</v>
      </c>
      <c r="L328" s="63" t="n"/>
      <c r="M328" s="63" t="n"/>
    </row>
    <row r="329">
      <c r="K329" s="651" t="n">
        <v>0.003668981481481481</v>
      </c>
      <c r="L329" s="63" t="n"/>
      <c r="M329" s="63" t="n"/>
    </row>
    <row r="330">
      <c r="K330" s="651" t="n">
        <v>0.003680555555555555</v>
      </c>
      <c r="L330" s="63" t="n"/>
      <c r="M330" s="63" t="n"/>
    </row>
    <row r="331">
      <c r="K331" s="651" t="n">
        <v>0.00369212962962963</v>
      </c>
      <c r="L331" s="63" t="n"/>
      <c r="M331" s="63" t="n"/>
    </row>
    <row r="332">
      <c r="K332" s="651" t="n">
        <v>0.003703703703703704</v>
      </c>
      <c r="L332" s="63" t="n"/>
      <c r="M332" s="63" t="n"/>
    </row>
    <row r="333">
      <c r="K333" s="651" t="n">
        <v>0.003715277777777778</v>
      </c>
      <c r="L333" s="63" t="n"/>
      <c r="M333" s="63" t="n"/>
    </row>
    <row r="334">
      <c r="K334" s="651" t="n">
        <v>0.003726851851851852</v>
      </c>
      <c r="L334" s="63" t="n"/>
      <c r="M334" s="63" t="n"/>
    </row>
    <row r="335">
      <c r="K335" s="651" t="n">
        <v>0.003738425925925926</v>
      </c>
      <c r="L335" s="63" t="n"/>
      <c r="M335" s="63" t="n"/>
    </row>
    <row r="336">
      <c r="K336" s="651" t="n">
        <v>0.00375</v>
      </c>
      <c r="L336" s="63" t="n"/>
      <c r="M336" s="63" t="n"/>
    </row>
    <row r="337">
      <c r="K337" s="651" t="n">
        <v>0.003761574074074074</v>
      </c>
      <c r="L337" s="63" t="n"/>
      <c r="M337" s="63" t="n"/>
    </row>
    <row r="338">
      <c r="K338" s="651" t="n">
        <v>0.003773148148148148</v>
      </c>
      <c r="L338" s="63" t="n"/>
      <c r="M338" s="63" t="n"/>
    </row>
    <row r="339">
      <c r="K339" s="651" t="n">
        <v>0.003784722222222222</v>
      </c>
      <c r="L339" s="63" t="n"/>
      <c r="M339" s="63" t="n"/>
    </row>
    <row r="340">
      <c r="K340" s="651" t="n">
        <v>0.003796296296296296</v>
      </c>
      <c r="L340" s="63" t="n"/>
      <c r="M340" s="63" t="n"/>
    </row>
    <row r="341">
      <c r="K341" s="651" t="n">
        <v>0.00380787037037037</v>
      </c>
      <c r="L341" s="63" t="n"/>
      <c r="M341" s="63" t="n"/>
    </row>
    <row r="342">
      <c r="K342" s="651" t="n">
        <v>0.003819444444444444</v>
      </c>
      <c r="L342" s="63" t="n"/>
      <c r="M342" s="63" t="n"/>
    </row>
    <row r="343">
      <c r="K343" s="651" t="n">
        <v>0.003831018518518518</v>
      </c>
      <c r="L343" s="63" t="n"/>
      <c r="M343" s="63" t="n"/>
    </row>
    <row r="344">
      <c r="K344" s="651" t="n">
        <v>0.003842592592592593</v>
      </c>
      <c r="L344" s="63" t="n"/>
      <c r="M344" s="63" t="n"/>
    </row>
    <row r="345">
      <c r="K345" s="651" t="n">
        <v>0.003854166666666667</v>
      </c>
      <c r="L345" s="63" t="n"/>
      <c r="M345" s="63" t="n"/>
    </row>
    <row r="346">
      <c r="K346" s="651" t="n">
        <v>0.003865740740740741</v>
      </c>
      <c r="L346" s="63" t="n"/>
      <c r="M346" s="63" t="n"/>
    </row>
    <row r="347">
      <c r="K347" s="651" t="n">
        <v>0.003877314814814815</v>
      </c>
      <c r="L347" s="63" t="n"/>
      <c r="M347" s="63" t="n"/>
    </row>
    <row r="348">
      <c r="K348" s="651" t="n">
        <v>0.003888888888888889</v>
      </c>
      <c r="L348" s="63" t="n"/>
      <c r="M348" s="63" t="n"/>
    </row>
    <row r="349">
      <c r="K349" s="651" t="n">
        <v>0.003900462962962963</v>
      </c>
      <c r="L349" s="63" t="n"/>
      <c r="M349" s="63" t="n"/>
    </row>
    <row r="350">
      <c r="K350" s="651" t="n">
        <v>0.003912037037037037</v>
      </c>
      <c r="L350" s="63" t="n"/>
      <c r="M350" s="63" t="n"/>
    </row>
    <row r="351">
      <c r="K351" s="651" t="n">
        <v>0.003923611111111111</v>
      </c>
      <c r="L351" s="63" t="n"/>
      <c r="M351" s="63" t="n"/>
    </row>
    <row r="352">
      <c r="K352" s="651" t="n">
        <v>0.003935185185185185</v>
      </c>
      <c r="L352" s="63" t="n"/>
      <c r="M352" s="63" t="n"/>
    </row>
    <row r="353">
      <c r="K353" s="651" t="n">
        <v>0.003946759259259259</v>
      </c>
      <c r="L353" s="63" t="n"/>
      <c r="M353" s="63" t="n"/>
    </row>
    <row r="354">
      <c r="K354" s="651" t="n">
        <v>0.003958333333333334</v>
      </c>
      <c r="L354" s="63" t="n"/>
      <c r="M354" s="63" t="n"/>
    </row>
    <row r="355">
      <c r="K355" s="651" t="n">
        <v>0.003969907407407407</v>
      </c>
      <c r="L355" s="63" t="n"/>
      <c r="M355" s="63" t="n"/>
    </row>
    <row r="356">
      <c r="K356" s="651" t="n">
        <v>0.003981481481481482</v>
      </c>
      <c r="L356" s="63" t="n"/>
      <c r="M356" s="63" t="n"/>
    </row>
    <row r="357">
      <c r="K357" s="651" t="n">
        <v>0.003993055555555555</v>
      </c>
      <c r="L357" s="63" t="n"/>
      <c r="M357" s="63" t="n"/>
    </row>
    <row r="358">
      <c r="K358" s="651" t="n">
        <v>0.00400462962962963</v>
      </c>
      <c r="L358" s="63" t="n"/>
      <c r="M358" s="63" t="n"/>
    </row>
    <row r="359">
      <c r="K359" s="651" t="n">
        <v>0.004016203703703704</v>
      </c>
      <c r="L359" s="63" t="n"/>
      <c r="M359" s="63" t="n"/>
    </row>
    <row r="360">
      <c r="K360" s="651" t="n">
        <v>0.004027777777777778</v>
      </c>
      <c r="L360" s="63" t="n"/>
      <c r="M360" s="63" t="n"/>
    </row>
    <row r="361">
      <c r="K361" s="651" t="n">
        <v>0.004039351851851852</v>
      </c>
      <c r="L361" s="63" t="n"/>
      <c r="M361" s="63" t="n"/>
    </row>
    <row r="362">
      <c r="K362" s="651" t="n">
        <v>0.004050925925925926</v>
      </c>
      <c r="L362" s="63" t="n"/>
      <c r="M362" s="63" t="n"/>
    </row>
    <row r="363">
      <c r="K363" s="651" t="n">
        <v>0.0040625</v>
      </c>
      <c r="L363" s="63" t="n"/>
      <c r="M363" s="63" t="n"/>
    </row>
    <row r="364">
      <c r="K364" s="651" t="n">
        <v>0.004074074074074074</v>
      </c>
      <c r="L364" s="63" t="n"/>
      <c r="M364" s="63" t="n"/>
    </row>
    <row r="365">
      <c r="K365" s="651" t="n">
        <v>0.004085648148148148</v>
      </c>
      <c r="L365" s="63" t="n"/>
      <c r="M365" s="63" t="n"/>
    </row>
    <row r="366">
      <c r="K366" s="651" t="n">
        <v>0.004097222222222223</v>
      </c>
      <c r="L366" s="63" t="n"/>
      <c r="M366" s="63" t="n"/>
    </row>
    <row r="367">
      <c r="K367" s="651" t="n">
        <v>0.004108796296296296</v>
      </c>
      <c r="L367" s="63" t="n"/>
      <c r="M367" s="63" t="n"/>
    </row>
    <row r="368">
      <c r="K368" s="651" t="n">
        <v>0.004120370370370371</v>
      </c>
      <c r="L368" s="63" t="n"/>
      <c r="M368" s="63" t="n"/>
    </row>
    <row r="369">
      <c r="K369" s="651" t="n">
        <v>0.004131944444444444</v>
      </c>
      <c r="L369" s="63" t="n"/>
      <c r="M369" s="63" t="n"/>
    </row>
    <row r="370">
      <c r="K370" s="651" t="n">
        <v>0.004143518518518519</v>
      </c>
      <c r="L370" s="63" t="n"/>
      <c r="M370" s="63" t="n"/>
    </row>
    <row r="371">
      <c r="K371" s="651" t="n">
        <v>0.004155092592592592</v>
      </c>
      <c r="L371" s="63" t="n"/>
      <c r="M371" s="63" t="n"/>
    </row>
    <row r="372">
      <c r="K372" s="651" t="n">
        <v>0.004166666666666667</v>
      </c>
      <c r="L372" s="63" t="n"/>
      <c r="M372" s="63" t="n"/>
    </row>
    <row r="373">
      <c r="K373" s="651" t="n">
        <v>0.004178240740740741</v>
      </c>
      <c r="L373" s="63" t="n"/>
      <c r="M373" s="63" t="n"/>
    </row>
    <row r="374">
      <c r="K374" s="651" t="n">
        <v>0.004189814814814815</v>
      </c>
      <c r="L374" s="63" t="n"/>
      <c r="M374" s="63" t="n"/>
    </row>
    <row r="375">
      <c r="K375" s="651" t="n">
        <v>0.004201388888888889</v>
      </c>
      <c r="L375" s="63" t="n"/>
      <c r="M375" s="63" t="n"/>
    </row>
    <row r="376">
      <c r="K376" s="651" t="n">
        <v>0.004212962962962963</v>
      </c>
      <c r="L376" s="63" t="n"/>
      <c r="M376" s="63" t="n"/>
    </row>
    <row r="377">
      <c r="K377" s="651" t="n">
        <v>0.004224537037037037</v>
      </c>
      <c r="L377" s="63" t="n"/>
      <c r="M377" s="63" t="n"/>
    </row>
    <row r="378">
      <c r="K378" s="651" t="n">
        <v>0.004236111111111112</v>
      </c>
      <c r="L378" s="63" t="n"/>
      <c r="M378" s="63" t="n"/>
    </row>
    <row r="379">
      <c r="K379" s="651" t="n">
        <v>0.004247685185185185</v>
      </c>
      <c r="L379" s="63" t="n"/>
      <c r="M379" s="63" t="n"/>
    </row>
    <row r="380">
      <c r="K380" s="651" t="n">
        <v>0.00425925925925926</v>
      </c>
      <c r="L380" s="63" t="n"/>
      <c r="M380" s="63" t="n"/>
    </row>
    <row r="381">
      <c r="K381" s="651" t="n">
        <v>0.004270833333333333</v>
      </c>
      <c r="L381" s="63" t="n"/>
      <c r="M381" s="63" t="n"/>
    </row>
    <row r="382">
      <c r="K382" s="651" t="n">
        <v>0.004282407407407408</v>
      </c>
      <c r="L382" s="63" t="n"/>
      <c r="M382" s="63" t="n"/>
    </row>
    <row r="383">
      <c r="K383" s="651" t="n">
        <v>0.004293981481481481</v>
      </c>
      <c r="L383" s="63" t="n"/>
      <c r="M383" s="63" t="n"/>
    </row>
    <row r="384">
      <c r="K384" s="651" t="n">
        <v>0.004305555555555556</v>
      </c>
      <c r="L384" s="63" t="n"/>
      <c r="M384" s="63" t="n"/>
    </row>
    <row r="385">
      <c r="K385" s="651" t="n">
        <v>0.00431712962962963</v>
      </c>
      <c r="L385" s="63" t="n"/>
      <c r="M385" s="63" t="n"/>
    </row>
    <row r="386">
      <c r="K386" s="651" t="n">
        <v>0.004328703703703704</v>
      </c>
      <c r="L386" s="63" t="n"/>
      <c r="M386" s="63" t="n"/>
    </row>
    <row r="387">
      <c r="K387" s="651" t="n">
        <v>0.004340277777777778</v>
      </c>
      <c r="L387" s="63" t="n"/>
      <c r="M387" s="63" t="n"/>
    </row>
    <row r="388">
      <c r="K388" s="651" t="n">
        <v>0.004351851851851852</v>
      </c>
      <c r="L388" s="63" t="n"/>
      <c r="M388" s="63" t="n"/>
    </row>
    <row r="389">
      <c r="K389" s="651" t="n">
        <v>0.004363425925925926</v>
      </c>
      <c r="L389" s="63" t="n"/>
      <c r="M389" s="63" t="n"/>
    </row>
    <row r="390">
      <c r="K390" s="651" t="n">
        <v>0.004375</v>
      </c>
      <c r="L390" s="63" t="n"/>
      <c r="M390" s="63" t="n"/>
    </row>
    <row r="391">
      <c r="K391" s="651" t="n">
        <v>0.004386574074074074</v>
      </c>
      <c r="L391" s="63" t="n"/>
      <c r="M391" s="63" t="n"/>
    </row>
    <row r="392">
      <c r="K392" s="651" t="n">
        <v>0.004398148148148148</v>
      </c>
      <c r="L392" s="63" t="n"/>
      <c r="M392" s="63" t="n"/>
    </row>
    <row r="393">
      <c r="K393" s="651" t="n">
        <v>0.004409722222222222</v>
      </c>
      <c r="L393" s="63" t="n"/>
      <c r="M393" s="63" t="n"/>
    </row>
    <row r="394">
      <c r="K394" s="651" t="n">
        <v>0.004421296296296296</v>
      </c>
      <c r="L394" s="63" t="n"/>
      <c r="M394" s="63" t="n"/>
    </row>
    <row r="395">
      <c r="K395" s="651" t="n">
        <v>0.00443287037037037</v>
      </c>
      <c r="L395" s="63" t="n"/>
      <c r="M395" s="63" t="n"/>
    </row>
    <row r="396">
      <c r="K396" s="651" t="n">
        <v>0.004444444444444444</v>
      </c>
      <c r="L396" s="63" t="n"/>
      <c r="M396" s="63" t="n"/>
    </row>
    <row r="397">
      <c r="K397" s="651" t="n">
        <v>0.004456018518518519</v>
      </c>
      <c r="L397" s="63" t="n"/>
      <c r="M397" s="63" t="n"/>
    </row>
    <row r="398">
      <c r="K398" s="651" t="n">
        <v>0.004467592592592592</v>
      </c>
      <c r="L398" s="63" t="n"/>
      <c r="M398" s="63" t="n"/>
    </row>
    <row r="399">
      <c r="K399" s="651" t="n">
        <v>0.004479166666666667</v>
      </c>
      <c r="L399" s="63" t="n"/>
      <c r="M399" s="63" t="n"/>
    </row>
    <row r="400">
      <c r="K400" s="651" t="n">
        <v>0.00449074074074074</v>
      </c>
      <c r="L400" s="63" t="n"/>
      <c r="M400" s="63" t="n"/>
    </row>
    <row r="401">
      <c r="K401" s="651" t="n">
        <v>0.004502314814814815</v>
      </c>
      <c r="L401" s="63" t="n"/>
      <c r="M401" s="63" t="n"/>
    </row>
    <row r="402">
      <c r="K402" s="651" t="n">
        <v>0.004513888888888888</v>
      </c>
      <c r="L402" s="63" t="n"/>
      <c r="M402" s="63" t="n"/>
    </row>
    <row r="403">
      <c r="K403" s="651" t="n">
        <v>0.004525462962962963</v>
      </c>
      <c r="L403" s="63" t="n"/>
      <c r="M403" s="63" t="n"/>
    </row>
    <row r="404">
      <c r="K404" s="651" t="n">
        <v>0.004537037037037037</v>
      </c>
      <c r="L404" s="63" t="n"/>
      <c r="M404" s="63" t="n"/>
    </row>
    <row r="405">
      <c r="K405" s="651" t="n">
        <v>0.004548611111111111</v>
      </c>
      <c r="L405" s="63" t="n"/>
      <c r="M405" s="63" t="n"/>
    </row>
    <row r="406">
      <c r="K406" s="651" t="n">
        <v>0.004560185185185185</v>
      </c>
      <c r="L406" s="63" t="n"/>
      <c r="M406" s="63" t="n"/>
    </row>
    <row r="407">
      <c r="K407" s="651" t="n">
        <v>0.004571759259259259</v>
      </c>
      <c r="L407" s="63" t="n"/>
      <c r="M407" s="63" t="n"/>
    </row>
    <row r="408">
      <c r="K408" s="651" t="n">
        <v>0.004583333333333333</v>
      </c>
      <c r="L408" s="63" t="n"/>
      <c r="M408" s="63" t="n"/>
    </row>
    <row r="409">
      <c r="K409" s="651" t="n">
        <v>0.004594907407407408</v>
      </c>
      <c r="L409" s="63" t="n"/>
      <c r="M409" s="63" t="n"/>
    </row>
    <row r="410">
      <c r="K410" s="651" t="n">
        <v>0.004606481481481481</v>
      </c>
      <c r="L410" s="63" t="n"/>
      <c r="M410" s="63" t="n"/>
    </row>
    <row r="411">
      <c r="K411" s="651" t="n">
        <v>0.004618055555555556</v>
      </c>
      <c r="L411" s="63" t="n"/>
      <c r="M411" s="63" t="n"/>
    </row>
    <row r="412">
      <c r="K412" s="651" t="n">
        <v>0.004629629629629629</v>
      </c>
      <c r="L412" s="63" t="n"/>
      <c r="M412" s="63" t="n"/>
    </row>
    <row r="413">
      <c r="K413" s="651" t="n">
        <v>0.004641203703703704</v>
      </c>
      <c r="L413" s="63" t="n"/>
      <c r="M413" s="63" t="n"/>
    </row>
    <row r="414">
      <c r="K414" s="651" t="n">
        <v>0.004652777777777777</v>
      </c>
      <c r="L414" s="63" t="n"/>
      <c r="M414" s="63" t="n"/>
    </row>
    <row r="415">
      <c r="K415" s="651" t="n">
        <v>0.004664351851851852</v>
      </c>
      <c r="L415" s="63" t="n"/>
      <c r="M415" s="63" t="n"/>
    </row>
    <row r="416">
      <c r="K416" s="651" t="n">
        <v>0.004675925925925926</v>
      </c>
      <c r="L416" s="63" t="n"/>
      <c r="M416" s="63" t="n"/>
    </row>
    <row r="417">
      <c r="K417" s="651" t="n">
        <v>0.0046875</v>
      </c>
      <c r="L417" s="63" t="n"/>
      <c r="M417" s="63" t="n"/>
    </row>
    <row r="418">
      <c r="K418" s="651" t="n">
        <v>0.004699074074074074</v>
      </c>
      <c r="L418" s="63" t="n"/>
      <c r="M418" s="63" t="n"/>
    </row>
    <row r="419">
      <c r="K419" s="651" t="n">
        <v>0.004710648148148148</v>
      </c>
      <c r="L419" s="63" t="n"/>
      <c r="M419" s="63" t="n"/>
    </row>
    <row r="420">
      <c r="K420" s="651" t="n">
        <v>0.004722222222222222</v>
      </c>
      <c r="L420" s="63" t="n"/>
      <c r="M420" s="63" t="n"/>
    </row>
    <row r="421">
      <c r="K421" s="651" t="n">
        <v>0.004733796296296297</v>
      </c>
      <c r="L421" s="63" t="n"/>
      <c r="M421" s="63" t="n"/>
    </row>
    <row r="422">
      <c r="K422" s="651" t="n">
        <v>0.00474537037037037</v>
      </c>
      <c r="L422" s="63" t="n"/>
      <c r="M422" s="63" t="n"/>
    </row>
    <row r="423">
      <c r="K423" s="651" t="n">
        <v>0.004756944444444445</v>
      </c>
      <c r="L423" s="63" t="n"/>
      <c r="M423" s="63" t="n"/>
    </row>
    <row r="424">
      <c r="K424" s="651" t="n">
        <v>0.004768518518518518</v>
      </c>
      <c r="L424" s="63" t="n"/>
      <c r="M424" s="63" t="n"/>
    </row>
    <row r="425">
      <c r="K425" s="651" t="n">
        <v>0.004780092592592593</v>
      </c>
      <c r="L425" s="63" t="n"/>
      <c r="M425" s="63" t="n"/>
    </row>
    <row r="426">
      <c r="K426" s="651" t="n">
        <v>0.004791666666666666</v>
      </c>
      <c r="L426" s="63" t="n"/>
      <c r="M426" s="63" t="n"/>
    </row>
    <row r="427">
      <c r="K427" s="651" t="n">
        <v>0.004803240740740741</v>
      </c>
      <c r="L427" s="63" t="n"/>
      <c r="M427" s="63" t="n"/>
    </row>
    <row r="428">
      <c r="K428" s="651" t="n">
        <v>0.004814814814814815</v>
      </c>
      <c r="L428" s="63" t="n"/>
      <c r="M428" s="63" t="n"/>
    </row>
    <row r="429">
      <c r="K429" s="651" t="n">
        <v>0.004826388888888889</v>
      </c>
      <c r="L429" s="63" t="n"/>
      <c r="M429" s="63" t="n"/>
    </row>
    <row r="430">
      <c r="K430" s="651" t="n">
        <v>0.004837962962962963</v>
      </c>
      <c r="L430" s="63" t="n"/>
      <c r="M430" s="63" t="n"/>
    </row>
    <row r="431">
      <c r="K431" s="651" t="n">
        <v>0.004849537037037037</v>
      </c>
      <c r="L431" s="63" t="n"/>
      <c r="M431" s="63" t="n"/>
    </row>
    <row r="432">
      <c r="K432" s="651" t="n">
        <v>0.004861111111111111</v>
      </c>
      <c r="L432" s="63" t="n"/>
      <c r="M432" s="63" t="n"/>
    </row>
    <row r="433">
      <c r="K433" s="651" t="n">
        <v>0.004872685185185185</v>
      </c>
      <c r="L433" s="63" t="n"/>
      <c r="M433" s="63" t="n"/>
    </row>
    <row r="434">
      <c r="K434" s="651" t="n">
        <v>0.004884259259259259</v>
      </c>
      <c r="L434" s="63" t="n"/>
      <c r="M434" s="63" t="n"/>
    </row>
    <row r="435">
      <c r="K435" s="651" t="n">
        <v>0.004895833333333334</v>
      </c>
      <c r="L435" s="63" t="n"/>
      <c r="M435" s="63" t="n"/>
    </row>
    <row r="436">
      <c r="K436" s="651" t="n">
        <v>0.004907407407407407</v>
      </c>
      <c r="L436" s="63" t="n"/>
      <c r="M436" s="63" t="n"/>
    </row>
    <row r="437">
      <c r="K437" s="651" t="n">
        <v>0.004918981481481482</v>
      </c>
      <c r="L437" s="63" t="n"/>
      <c r="M437" s="63" t="n"/>
    </row>
    <row r="438">
      <c r="K438" s="651" t="n">
        <v>0.004930555555555555</v>
      </c>
      <c r="L438" s="63" t="n"/>
      <c r="M438" s="63" t="n"/>
    </row>
    <row r="439">
      <c r="K439" s="651" t="n">
        <v>0.00494212962962963</v>
      </c>
      <c r="L439" s="63" t="n"/>
      <c r="M439" s="63" t="n"/>
    </row>
    <row r="440">
      <c r="K440" s="651" t="n">
        <v>0.004953703703703704</v>
      </c>
      <c r="L440" s="63" t="n"/>
      <c r="M440" s="63" t="n"/>
    </row>
    <row r="441">
      <c r="K441" s="651" t="n">
        <v>0.004965277777777778</v>
      </c>
      <c r="L441" s="63" t="n"/>
      <c r="M441" s="63" t="n"/>
    </row>
    <row r="442">
      <c r="K442" s="651" t="n">
        <v>0.004976851851851852</v>
      </c>
      <c r="L442" s="63" t="n"/>
      <c r="M442" s="63" t="n"/>
    </row>
    <row r="443">
      <c r="K443" s="651" t="n">
        <v>0.004988425925925926</v>
      </c>
      <c r="L443" s="63" t="n"/>
      <c r="M443" s="63" t="n"/>
    </row>
    <row r="444">
      <c r="K444" s="651" t="n">
        <v>0.005</v>
      </c>
      <c r="L444" s="63" t="n"/>
      <c r="M444" s="63" t="n"/>
    </row>
    <row r="445">
      <c r="K445" s="651" t="n">
        <v>0.005011574074074074</v>
      </c>
      <c r="L445" s="63" t="n"/>
      <c r="M445" s="63" t="n"/>
    </row>
    <row r="446">
      <c r="K446" s="651" t="n">
        <v>0.005023148148148148</v>
      </c>
      <c r="L446" s="63" t="n"/>
      <c r="M446" s="63" t="n"/>
    </row>
    <row r="447">
      <c r="K447" s="651" t="n">
        <v>0.005034722222222223</v>
      </c>
      <c r="L447" s="63" t="n"/>
      <c r="M447" s="63" t="n"/>
    </row>
    <row r="448">
      <c r="K448" s="651" t="n">
        <v>0.005046296296296296</v>
      </c>
      <c r="L448" s="63" t="n"/>
      <c r="M448" s="63" t="n"/>
    </row>
    <row r="449">
      <c r="K449" s="651" t="n">
        <v>0.005057870370370371</v>
      </c>
      <c r="L449" s="63" t="n"/>
      <c r="M449" s="63" t="n"/>
    </row>
    <row r="450">
      <c r="K450" s="651" t="n">
        <v>0.005069444444444444</v>
      </c>
      <c r="L450" s="63" t="n"/>
      <c r="M450" s="63" t="n"/>
    </row>
    <row r="451">
      <c r="K451" s="651" t="n">
        <v>0.005081018518518519</v>
      </c>
      <c r="L451" s="63" t="n"/>
      <c r="M451" s="63" t="n"/>
    </row>
    <row r="452">
      <c r="K452" s="651" t="n">
        <v>0.005092592592592593</v>
      </c>
      <c r="L452" s="63" t="n"/>
      <c r="M452" s="63" t="n"/>
    </row>
    <row r="453">
      <c r="K453" s="651" t="n">
        <v>0.005104166666666667</v>
      </c>
      <c r="L453" s="63" t="n"/>
      <c r="M453" s="63" t="n"/>
    </row>
    <row r="454">
      <c r="K454" s="651" t="n">
        <v>0.005115740740740741</v>
      </c>
      <c r="L454" s="63" t="n"/>
      <c r="M454" s="63" t="n"/>
    </row>
    <row r="455">
      <c r="K455" s="651" t="n">
        <v>0.005127314814814815</v>
      </c>
      <c r="L455" s="63" t="n"/>
      <c r="M455" s="63" t="n"/>
    </row>
    <row r="456">
      <c r="K456" s="651" t="n">
        <v>0.005138888888888889</v>
      </c>
      <c r="L456" s="63" t="n"/>
      <c r="M456" s="63" t="n"/>
    </row>
    <row r="457">
      <c r="K457" s="651" t="n">
        <v>0.005150462962962963</v>
      </c>
      <c r="L457" s="63" t="n"/>
      <c r="M457" s="63" t="n"/>
    </row>
    <row r="458">
      <c r="K458" s="651" t="n">
        <v>0.005162037037037037</v>
      </c>
      <c r="L458" s="63" t="n"/>
      <c r="M458" s="63" t="n"/>
    </row>
    <row r="459">
      <c r="K459" s="651" t="n">
        <v>0.005173611111111111</v>
      </c>
      <c r="L459" s="63" t="n"/>
      <c r="M459" s="63" t="n"/>
    </row>
    <row r="460">
      <c r="K460" s="651" t="n">
        <v>0.005185185185185185</v>
      </c>
      <c r="L460" s="63" t="n"/>
      <c r="M460" s="63" t="n"/>
    </row>
    <row r="461">
      <c r="K461" s="651" t="n">
        <v>0.005196759259259259</v>
      </c>
      <c r="L461" s="63" t="n"/>
      <c r="M461" s="63" t="n"/>
    </row>
    <row r="462">
      <c r="K462" s="651" t="n">
        <v>0.005208333333333333</v>
      </c>
      <c r="L462" s="63" t="n"/>
      <c r="M462" s="63" t="n"/>
    </row>
    <row r="463">
      <c r="K463" s="651" t="n">
        <v>0.005219907407407407</v>
      </c>
      <c r="L463" s="63" t="n"/>
      <c r="M463" s="63" t="n"/>
    </row>
    <row r="464">
      <c r="K464" s="651" t="n">
        <v>0.005231481481481481</v>
      </c>
      <c r="L464" s="63" t="n"/>
      <c r="M464" s="63" t="n"/>
    </row>
    <row r="465">
      <c r="K465" s="651" t="n">
        <v>0.005243055555555555</v>
      </c>
      <c r="L465" s="63" t="n"/>
      <c r="M465" s="63" t="n"/>
    </row>
    <row r="466">
      <c r="K466" s="651" t="n">
        <v>0.00525462962962963</v>
      </c>
      <c r="L466" s="63" t="n"/>
      <c r="M466" s="63" t="n"/>
    </row>
    <row r="467">
      <c r="K467" s="651" t="n">
        <v>0.005266203703703703</v>
      </c>
      <c r="L467" s="63" t="n"/>
      <c r="M467" s="63" t="n"/>
    </row>
    <row r="468">
      <c r="K468" s="651" t="n">
        <v>0.005277777777777778</v>
      </c>
      <c r="L468" s="63" t="n"/>
      <c r="M468" s="63" t="n"/>
    </row>
    <row r="469">
      <c r="K469" s="651" t="n">
        <v>0.005289351851851852</v>
      </c>
      <c r="L469" s="63" t="n"/>
      <c r="M469" s="63" t="n"/>
    </row>
    <row r="470">
      <c r="K470" s="651" t="n">
        <v>0.005300925925925926</v>
      </c>
      <c r="L470" s="63" t="n"/>
      <c r="M470" s="63" t="n"/>
    </row>
    <row r="471">
      <c r="K471" s="651" t="n">
        <v>0.0053125</v>
      </c>
      <c r="L471" s="63" t="n"/>
      <c r="M471" s="63" t="n"/>
    </row>
    <row r="472">
      <c r="K472" s="651" t="n">
        <v>0.005324074074074074</v>
      </c>
      <c r="L472" s="63" t="n"/>
      <c r="M472" s="63" t="n"/>
    </row>
    <row r="473">
      <c r="K473" s="651" t="n">
        <v>0.005335648148148148</v>
      </c>
      <c r="L473" s="63" t="n"/>
      <c r="M473" s="63" t="n"/>
    </row>
    <row r="474">
      <c r="K474" s="651" t="n">
        <v>0.005347222222222222</v>
      </c>
      <c r="L474" s="63" t="n"/>
      <c r="M474" s="63" t="n"/>
    </row>
    <row r="475">
      <c r="K475" s="651" t="n">
        <v>0.005358796296296296</v>
      </c>
      <c r="L475" s="63" t="n"/>
      <c r="M475" s="63" t="n"/>
    </row>
    <row r="476">
      <c r="K476" s="651" t="n">
        <v>0.00537037037037037</v>
      </c>
      <c r="L476" s="63" t="n"/>
      <c r="M476" s="63" t="n"/>
    </row>
    <row r="477">
      <c r="K477" s="651" t="n">
        <v>0.005381944444444444</v>
      </c>
      <c r="L477" s="63" t="n"/>
      <c r="M477" s="63" t="n"/>
    </row>
    <row r="478">
      <c r="K478" s="651" t="n">
        <v>0.005393518518518519</v>
      </c>
      <c r="L478" s="63" t="n"/>
      <c r="M478" s="63" t="n"/>
    </row>
    <row r="479">
      <c r="K479" s="651" t="n">
        <v>0.005405092592592592</v>
      </c>
      <c r="L479" s="63" t="n"/>
      <c r="M479" s="63" t="n"/>
    </row>
    <row r="480">
      <c r="K480" s="651" t="n">
        <v>0.005416666666666667</v>
      </c>
      <c r="L480" s="63" t="n"/>
      <c r="M480" s="63" t="n"/>
    </row>
    <row r="481">
      <c r="K481" s="651" t="n">
        <v>0.00542824074074074</v>
      </c>
      <c r="L481" s="63" t="n"/>
      <c r="M481" s="63" t="n"/>
    </row>
    <row r="482">
      <c r="K482" s="651" t="n">
        <v>0.005439814814814815</v>
      </c>
      <c r="L482" s="63" t="n"/>
      <c r="M482" s="63" t="n"/>
    </row>
    <row r="483">
      <c r="K483" s="651" t="n">
        <v>0.005451388888888889</v>
      </c>
      <c r="L483" s="63" t="n"/>
      <c r="M483" s="63" t="n"/>
    </row>
    <row r="484">
      <c r="K484" s="651" t="n">
        <v>0.005462962962962963</v>
      </c>
      <c r="L484" s="63" t="n"/>
      <c r="M484" s="63" t="n"/>
    </row>
    <row r="485">
      <c r="K485" s="651" t="n">
        <v>0.005474537037037037</v>
      </c>
      <c r="L485" s="63" t="n"/>
      <c r="M485" s="63" t="n"/>
    </row>
    <row r="486">
      <c r="K486" s="651" t="n">
        <v>0.005486111111111111</v>
      </c>
      <c r="L486" s="63" t="n"/>
      <c r="M486" s="63" t="n"/>
    </row>
    <row r="487">
      <c r="K487" s="651" t="n">
        <v>0.005497685185185185</v>
      </c>
      <c r="L487" s="63" t="n"/>
      <c r="M487" s="63" t="n"/>
    </row>
    <row r="488">
      <c r="K488" s="651" t="n">
        <v>0.005509259259259259</v>
      </c>
      <c r="L488" s="63" t="n"/>
      <c r="M488" s="63" t="n"/>
    </row>
    <row r="489">
      <c r="K489" s="651" t="n">
        <v>0.005520833333333333</v>
      </c>
      <c r="L489" s="63" t="n"/>
      <c r="M489" s="63" t="n"/>
    </row>
    <row r="490">
      <c r="K490" s="651" t="n">
        <v>0.005532407407407408</v>
      </c>
      <c r="L490" s="63" t="n"/>
      <c r="M490" s="63" t="n"/>
    </row>
    <row r="491">
      <c r="K491" s="651" t="n">
        <v>0.005543981481481481</v>
      </c>
      <c r="L491" s="63" t="n"/>
      <c r="M491" s="63" t="n"/>
    </row>
    <row r="492">
      <c r="K492" s="651" t="n">
        <v>0.005555555555555556</v>
      </c>
      <c r="L492" s="63" t="n"/>
      <c r="M492" s="63" t="n"/>
    </row>
    <row r="493">
      <c r="K493" s="651" t="n">
        <v>0.005567129629629629</v>
      </c>
      <c r="L493" s="63" t="n"/>
      <c r="M493" s="63" t="n"/>
    </row>
    <row r="494">
      <c r="K494" s="651" t="n">
        <v>0.005578703703703704</v>
      </c>
      <c r="L494" s="63" t="n"/>
      <c r="M494" s="63" t="n"/>
    </row>
    <row r="495">
      <c r="K495" s="651" t="n">
        <v>0.005590277777777777</v>
      </c>
      <c r="L495" s="63" t="n"/>
      <c r="M495" s="63" t="n"/>
    </row>
    <row r="496">
      <c r="K496" s="651" t="n">
        <v>0.005601851851851852</v>
      </c>
      <c r="L496" s="63" t="n"/>
      <c r="M496" s="63" t="n"/>
    </row>
    <row r="497">
      <c r="K497" s="651" t="n">
        <v>0.005613425925925926</v>
      </c>
      <c r="L497" s="63" t="n"/>
      <c r="M497" s="63" t="n"/>
    </row>
    <row r="498">
      <c r="K498" s="651" t="n">
        <v>0.005625</v>
      </c>
      <c r="L498" s="63" t="n"/>
      <c r="M498" s="63" t="n"/>
    </row>
    <row r="499">
      <c r="K499" s="651" t="n">
        <v>0.005636574074074074</v>
      </c>
      <c r="L499" s="63" t="n"/>
      <c r="M499" s="63" t="n"/>
    </row>
    <row r="500">
      <c r="K500" s="651" t="n">
        <v>0.005648148148148148</v>
      </c>
      <c r="L500" s="63" t="n"/>
      <c r="M500" s="63" t="n"/>
    </row>
    <row r="501">
      <c r="K501" s="651" t="n">
        <v>0.005659722222222222</v>
      </c>
      <c r="L501" s="63" t="n"/>
      <c r="M501" s="63" t="n"/>
    </row>
    <row r="502">
      <c r="K502" s="651" t="n">
        <v>0.005671296296296297</v>
      </c>
      <c r="L502" s="63" t="n"/>
      <c r="M502" s="63" t="n"/>
    </row>
    <row r="503">
      <c r="K503" s="651" t="n">
        <v>0.00568287037037037</v>
      </c>
      <c r="L503" s="63" t="n"/>
      <c r="M503" s="63" t="n"/>
    </row>
    <row r="504">
      <c r="K504" s="651" t="n">
        <v>0.005694444444444445</v>
      </c>
      <c r="L504" s="63" t="n"/>
      <c r="M504" s="63" t="n"/>
    </row>
    <row r="505">
      <c r="K505" s="651" t="n">
        <v>0.005706018518518518</v>
      </c>
      <c r="L505" s="63" t="n"/>
      <c r="M505" s="63" t="n"/>
    </row>
    <row r="506">
      <c r="K506" s="651" t="n">
        <v>0.005717592592592593</v>
      </c>
      <c r="L506" s="63" t="n"/>
      <c r="M506" s="63" t="n"/>
    </row>
    <row r="507">
      <c r="K507" s="651" t="n">
        <v>0.005729166666666666</v>
      </c>
      <c r="L507" s="63" t="n"/>
      <c r="M507" s="63" t="n"/>
    </row>
    <row r="508">
      <c r="K508" s="651" t="n">
        <v>0.005740740740740741</v>
      </c>
      <c r="L508" s="63" t="n"/>
      <c r="M508" s="63" t="n"/>
    </row>
    <row r="509">
      <c r="K509" s="651" t="n">
        <v>0.005752314814814815</v>
      </c>
      <c r="L509" s="63" t="n"/>
      <c r="M509" s="63" t="n"/>
    </row>
    <row r="510">
      <c r="K510" s="651" t="n">
        <v>0.005763888888888889</v>
      </c>
      <c r="L510" s="63" t="n"/>
      <c r="M510" s="63" t="n"/>
    </row>
    <row r="511">
      <c r="K511" s="651" t="n">
        <v>0.005775462962962963</v>
      </c>
      <c r="L511" s="63" t="n"/>
      <c r="M511" s="63" t="n"/>
    </row>
    <row r="512">
      <c r="K512" s="651" t="n">
        <v>0.005787037037037037</v>
      </c>
      <c r="L512" s="63" t="n"/>
      <c r="M512" s="63" t="n"/>
    </row>
    <row r="513">
      <c r="K513" s="651" t="n">
        <v>0.005798611111111111</v>
      </c>
      <c r="L513" s="63" t="n"/>
      <c r="M513" s="63" t="n"/>
    </row>
    <row r="514">
      <c r="K514" s="651" t="n">
        <v>0.005810185185185186</v>
      </c>
      <c r="L514" s="63" t="n"/>
      <c r="M514" s="63" t="n"/>
    </row>
    <row r="515">
      <c r="K515" s="651" t="n">
        <v>0.005821759259259259</v>
      </c>
      <c r="L515" s="63" t="n"/>
      <c r="M515" s="63" t="n"/>
    </row>
    <row r="516">
      <c r="K516" s="651" t="n">
        <v>0.005833333333333334</v>
      </c>
      <c r="L516" s="63" t="n"/>
      <c r="M516" s="63" t="n"/>
    </row>
    <row r="517">
      <c r="K517" s="651" t="n">
        <v>0.005844907407407407</v>
      </c>
      <c r="L517" s="63" t="n"/>
      <c r="M517" s="63" t="n"/>
    </row>
    <row r="518">
      <c r="K518" s="651" t="n">
        <v>0.005856481481481482</v>
      </c>
      <c r="L518" s="63" t="n"/>
      <c r="M518" s="63" t="n"/>
    </row>
    <row r="519">
      <c r="K519" s="651" t="n">
        <v>0.005868055555555555</v>
      </c>
      <c r="L519" s="63" t="n"/>
      <c r="M519" s="63" t="n"/>
    </row>
    <row r="520">
      <c r="K520" s="651" t="n">
        <v>0.00587962962962963</v>
      </c>
      <c r="L520" s="63" t="n"/>
      <c r="M520" s="63" t="n"/>
    </row>
    <row r="521">
      <c r="K521" s="651" t="n">
        <v>0.005891203703703704</v>
      </c>
      <c r="L521" s="63" t="n"/>
      <c r="M521" s="63" t="n"/>
    </row>
    <row r="522">
      <c r="K522" s="651" t="n">
        <v>0.005902777777777778</v>
      </c>
      <c r="L522" s="63" t="n"/>
      <c r="M522" s="63" t="n"/>
    </row>
    <row r="523">
      <c r="K523" s="651" t="n">
        <v>0.005914351851851852</v>
      </c>
      <c r="L523" s="63" t="n"/>
      <c r="M523" s="63" t="n"/>
    </row>
    <row r="524">
      <c r="K524" s="651" t="n">
        <v>0.005925925925925926</v>
      </c>
      <c r="L524" s="63" t="n"/>
      <c r="M524" s="63" t="n"/>
    </row>
    <row r="525">
      <c r="K525" s="651" t="n">
        <v>0.0059375</v>
      </c>
      <c r="L525" s="63" t="n"/>
      <c r="M525" s="63" t="n"/>
    </row>
    <row r="526">
      <c r="K526" s="651" t="n">
        <v>0.005949074074074075</v>
      </c>
      <c r="L526" s="63" t="n"/>
      <c r="M526" s="63" t="n"/>
    </row>
    <row r="527">
      <c r="K527" s="651" t="n">
        <v>0.005960648148148148</v>
      </c>
      <c r="L527" s="63" t="n"/>
      <c r="M527" s="63" t="n"/>
    </row>
    <row r="528">
      <c r="K528" s="651" t="n">
        <v>0.005972222222222223</v>
      </c>
      <c r="L528" s="63" t="n"/>
      <c r="M528" s="63" t="n"/>
    </row>
    <row r="529">
      <c r="K529" s="651" t="n">
        <v>0.005983796296296296</v>
      </c>
      <c r="L529" s="63" t="n"/>
      <c r="M529" s="63" t="n"/>
    </row>
    <row r="530">
      <c r="K530" s="651" t="n">
        <v>0.005995370370370371</v>
      </c>
      <c r="L530" s="63" t="n"/>
      <c r="M530" s="63" t="n"/>
    </row>
    <row r="531">
      <c r="K531" s="651" t="n">
        <v>0.006006944444444444</v>
      </c>
      <c r="L531" s="63" t="n"/>
      <c r="M531" s="63" t="n"/>
    </row>
    <row r="532">
      <c r="K532" s="651" t="n">
        <v>0.006018518518518519</v>
      </c>
      <c r="L532" s="63" t="n"/>
      <c r="M532" s="63" t="n"/>
    </row>
    <row r="533">
      <c r="K533" s="651" t="n">
        <v>0.006030092592592593</v>
      </c>
      <c r="L533" s="63" t="n"/>
      <c r="M533" s="63" t="n"/>
    </row>
    <row r="534">
      <c r="K534" s="651" t="n">
        <v>0.006041666666666667</v>
      </c>
      <c r="L534" s="63" t="n"/>
      <c r="M534" s="63" t="n"/>
    </row>
    <row r="535">
      <c r="K535" s="651" t="n">
        <v>0.006053240740740741</v>
      </c>
      <c r="L535" s="63" t="n"/>
      <c r="M535" s="63" t="n"/>
    </row>
    <row r="536">
      <c r="K536" s="651" t="n">
        <v>0.006064814814814815</v>
      </c>
      <c r="L536" s="63" t="n"/>
      <c r="M536" s="63" t="n"/>
    </row>
    <row r="537">
      <c r="K537" s="651" t="n">
        <v>0.006076388888888889</v>
      </c>
      <c r="L537" s="63" t="n"/>
      <c r="M537" s="63" t="n"/>
    </row>
    <row r="538">
      <c r="K538" s="651" t="n">
        <v>0.006087962962962963</v>
      </c>
      <c r="L538" s="63" t="n"/>
      <c r="M538" s="63" t="n"/>
    </row>
    <row r="539">
      <c r="K539" s="651" t="n">
        <v>0.006099537037037037</v>
      </c>
      <c r="L539" s="63" t="n"/>
      <c r="M539" s="63" t="n"/>
    </row>
    <row r="540">
      <c r="K540" s="651" t="n">
        <v>0.006111111111111111</v>
      </c>
      <c r="L540" s="63" t="n"/>
      <c r="M540" s="63" t="n"/>
    </row>
    <row r="541">
      <c r="K541" s="651" t="n">
        <v>0.006122685185185185</v>
      </c>
      <c r="L541" s="63" t="n"/>
      <c r="M541" s="63" t="n"/>
    </row>
    <row r="542">
      <c r="K542" s="651" t="n">
        <v>0.006134259259259259</v>
      </c>
      <c r="L542" s="63" t="n"/>
      <c r="M542" s="63" t="n"/>
    </row>
    <row r="543">
      <c r="K543" s="651" t="n">
        <v>0.006145833333333333</v>
      </c>
      <c r="L543" s="63" t="n"/>
      <c r="M543" s="63" t="n"/>
    </row>
    <row r="544">
      <c r="K544" s="651" t="n">
        <v>0.006157407407407407</v>
      </c>
      <c r="L544" s="63" t="n"/>
      <c r="M544" s="63" t="n"/>
    </row>
    <row r="545">
      <c r="K545" s="651" t="n">
        <v>0.006168981481481482</v>
      </c>
      <c r="L545" s="63" t="n"/>
      <c r="M545" s="63" t="n"/>
    </row>
    <row r="546">
      <c r="K546" s="651" t="n">
        <v>0.006180555555555555</v>
      </c>
      <c r="L546" s="63" t="n"/>
      <c r="M546" s="63" t="n"/>
    </row>
    <row r="547">
      <c r="K547" s="651" t="n">
        <v>0.00619212962962963</v>
      </c>
      <c r="L547" s="63" t="n"/>
      <c r="M547" s="63" t="n"/>
    </row>
    <row r="548">
      <c r="K548" s="651" t="n">
        <v>0.006203703703703703</v>
      </c>
      <c r="L548" s="63" t="n"/>
      <c r="M548" s="63" t="n"/>
    </row>
    <row r="549">
      <c r="K549" s="651" t="n">
        <v>0.006215277777777778</v>
      </c>
      <c r="L549" s="63" t="n"/>
      <c r="M549" s="63" t="n"/>
    </row>
    <row r="550">
      <c r="K550" s="651" t="n">
        <v>0.006226851851851851</v>
      </c>
      <c r="L550" s="63" t="n"/>
      <c r="M550" s="63" t="n"/>
    </row>
    <row r="551">
      <c r="K551" s="651" t="n">
        <v>0.006238425925925926</v>
      </c>
      <c r="L551" s="63" t="n"/>
      <c r="M551" s="63" t="n"/>
    </row>
    <row r="552">
      <c r="K552" s="651" t="n">
        <v>0.00625</v>
      </c>
      <c r="L552" s="63" t="n"/>
      <c r="M552" s="63" t="n"/>
    </row>
    <row r="553">
      <c r="K553" s="651" t="n">
        <v>0.006261574074074074</v>
      </c>
      <c r="L553" s="63" t="n"/>
      <c r="M553" s="63" t="n"/>
    </row>
    <row r="554">
      <c r="K554" s="651" t="n">
        <v>0.006273148148148148</v>
      </c>
      <c r="L554" s="63" t="n"/>
      <c r="M554" s="63" t="n"/>
    </row>
    <row r="555">
      <c r="K555" s="651" t="n">
        <v>0.006284722222222222</v>
      </c>
      <c r="L555" s="63" t="n"/>
      <c r="M555" s="63" t="n"/>
    </row>
    <row r="556">
      <c r="K556" s="651" t="n">
        <v>0.006296296296296296</v>
      </c>
      <c r="L556" s="63" t="n"/>
      <c r="M556" s="63" t="n"/>
    </row>
    <row r="557">
      <c r="K557" s="651" t="n">
        <v>0.006307870370370371</v>
      </c>
      <c r="L557" s="63" t="n"/>
      <c r="M557" s="63" t="n"/>
    </row>
    <row r="558">
      <c r="K558" s="651" t="n">
        <v>0.006319444444444444</v>
      </c>
      <c r="L558" s="63" t="n"/>
      <c r="M558" s="63" t="n"/>
    </row>
    <row r="559">
      <c r="K559" s="651" t="n">
        <v>0.006331018518518519</v>
      </c>
      <c r="L559" s="63" t="n"/>
      <c r="M559" s="63" t="n"/>
    </row>
    <row r="560">
      <c r="K560" s="651" t="n">
        <v>0.006342592592592592</v>
      </c>
      <c r="L560" s="63" t="n"/>
      <c r="M560" s="63" t="n"/>
    </row>
    <row r="561">
      <c r="K561" s="651" t="n">
        <v>0.006354166666666667</v>
      </c>
      <c r="L561" s="63" t="n"/>
      <c r="M561" s="63" t="n"/>
    </row>
    <row r="562">
      <c r="K562" s="651" t="n">
        <v>0.00636574074074074</v>
      </c>
      <c r="L562" s="63" t="n"/>
      <c r="M562" s="63" t="n"/>
    </row>
    <row r="563">
      <c r="K563" s="651" t="n">
        <v>0.006377314814814815</v>
      </c>
      <c r="L563" s="63" t="n"/>
      <c r="M563" s="63" t="n"/>
    </row>
    <row r="564">
      <c r="K564" s="651" t="n">
        <v>0.006388888888888889</v>
      </c>
      <c r="L564" s="63" t="n"/>
      <c r="M564" s="63" t="n"/>
    </row>
    <row r="565">
      <c r="K565" s="651" t="n">
        <v>0.006400462962962963</v>
      </c>
      <c r="L565" s="63" t="n"/>
      <c r="M565" s="63" t="n"/>
    </row>
    <row r="566">
      <c r="K566" s="651" t="n">
        <v>0.006412037037037037</v>
      </c>
      <c r="L566" s="63" t="n"/>
      <c r="M566" s="63" t="n"/>
    </row>
    <row r="567">
      <c r="K567" s="651" t="n">
        <v>0.006423611111111111</v>
      </c>
      <c r="L567" s="63" t="n"/>
      <c r="M567" s="63" t="n"/>
    </row>
    <row r="568">
      <c r="K568" s="651" t="n">
        <v>0.006435185185185185</v>
      </c>
      <c r="L568" s="63" t="n"/>
      <c r="M568" s="63" t="n"/>
    </row>
    <row r="569">
      <c r="K569" s="651" t="n">
        <v>0.006446759259259259</v>
      </c>
      <c r="L569" s="63" t="n"/>
      <c r="M569" s="63" t="n"/>
    </row>
    <row r="570">
      <c r="K570" s="651" t="n">
        <v>0.006458333333333333</v>
      </c>
      <c r="L570" s="63" t="n"/>
      <c r="M570" s="63" t="n"/>
    </row>
    <row r="571">
      <c r="K571" s="651" t="n">
        <v>0.006469907407407408</v>
      </c>
      <c r="L571" s="63" t="n"/>
      <c r="M571" s="63" t="n"/>
    </row>
    <row r="572">
      <c r="K572" s="651" t="n">
        <v>0.006481481481481481</v>
      </c>
      <c r="L572" s="63" t="n"/>
      <c r="M572" s="63" t="n"/>
    </row>
    <row r="573">
      <c r="K573" s="651" t="n">
        <v>0.006493055555555556</v>
      </c>
      <c r="L573" s="63" t="n"/>
      <c r="M573" s="63" t="n"/>
    </row>
    <row r="574">
      <c r="K574" s="651" t="n">
        <v>0.006504629629629629</v>
      </c>
      <c r="L574" s="63" t="n"/>
      <c r="M574" s="63" t="n"/>
    </row>
    <row r="575">
      <c r="K575" s="651" t="n">
        <v>0.006516203703703704</v>
      </c>
      <c r="L575" s="63" t="n"/>
      <c r="M575" s="63" t="n"/>
    </row>
    <row r="576">
      <c r="K576" s="651" t="n">
        <v>0.006527777777777778</v>
      </c>
      <c r="L576" s="63" t="n"/>
      <c r="M576" s="63" t="n"/>
    </row>
    <row r="577">
      <c r="K577" s="651" t="n">
        <v>0.006539351851851852</v>
      </c>
      <c r="L577" s="63" t="n"/>
      <c r="M577" s="63" t="n"/>
    </row>
    <row r="578">
      <c r="K578" s="651" t="n">
        <v>0.006550925925925926</v>
      </c>
      <c r="L578" s="63" t="n"/>
      <c r="M578" s="63" t="n"/>
    </row>
    <row r="579">
      <c r="K579" s="651" t="n">
        <v>0.0065625</v>
      </c>
      <c r="L579" s="63" t="n"/>
      <c r="M579" s="63" t="n"/>
    </row>
    <row r="580">
      <c r="K580" s="651" t="n">
        <v>0.006574074074074074</v>
      </c>
      <c r="L580" s="63" t="n"/>
      <c r="M580" s="63" t="n"/>
    </row>
    <row r="581">
      <c r="K581" s="651" t="n">
        <v>0.006585648148148148</v>
      </c>
      <c r="L581" s="63" t="n"/>
      <c r="M581" s="63" t="n"/>
    </row>
    <row r="582">
      <c r="K582" s="651" t="n">
        <v>0.006597222222222222</v>
      </c>
      <c r="L582" s="63" t="n"/>
      <c r="M582" s="63" t="n"/>
    </row>
    <row r="583">
      <c r="K583" s="651" t="n">
        <v>0.006608796296296297</v>
      </c>
      <c r="L583" s="63" t="n"/>
      <c r="M583" s="63" t="n"/>
    </row>
    <row r="584">
      <c r="K584" s="651" t="n">
        <v>0.00662037037037037</v>
      </c>
      <c r="L584" s="63" t="n"/>
      <c r="M584" s="63" t="n"/>
    </row>
    <row r="585">
      <c r="K585" s="651" t="n">
        <v>0.006631944444444445</v>
      </c>
      <c r="L585" s="63" t="n"/>
      <c r="M585" s="63" t="n"/>
    </row>
    <row r="586">
      <c r="K586" s="651" t="n">
        <v>0.006643518518518518</v>
      </c>
      <c r="L586" s="63" t="n"/>
      <c r="M586" s="63" t="n"/>
    </row>
    <row r="587">
      <c r="K587" s="651" t="n">
        <v>0.006655092592592593</v>
      </c>
      <c r="L587" s="63" t="n"/>
      <c r="M587" s="63" t="n"/>
    </row>
    <row r="588">
      <c r="K588" s="651" t="n">
        <v>0.006666666666666667</v>
      </c>
      <c r="L588" s="63" t="n"/>
      <c r="M588" s="63" t="n"/>
    </row>
    <row r="589">
      <c r="K589" s="651" t="n">
        <v>0.006678240740740741</v>
      </c>
      <c r="L589" s="63" t="n"/>
      <c r="M589" s="63" t="n"/>
    </row>
    <row r="590">
      <c r="K590" s="651" t="n">
        <v>0.006689814814814815</v>
      </c>
      <c r="L590" s="63" t="n"/>
      <c r="M590" s="63" t="n"/>
    </row>
    <row r="591">
      <c r="K591" s="651" t="n">
        <v>0.006701388888888889</v>
      </c>
      <c r="L591" s="63" t="n"/>
      <c r="M591" s="63" t="n"/>
    </row>
    <row r="592">
      <c r="K592" s="651" t="n">
        <v>0.006712962962962963</v>
      </c>
      <c r="L592" s="63" t="n"/>
      <c r="M592" s="63" t="n"/>
    </row>
    <row r="593">
      <c r="K593" s="651" t="n">
        <v>0.006724537037037037</v>
      </c>
      <c r="L593" s="63" t="n"/>
      <c r="M593" s="63" t="n"/>
    </row>
    <row r="594">
      <c r="K594" s="651" t="n">
        <v>0.006736111111111111</v>
      </c>
      <c r="L594" s="63" t="n"/>
      <c r="M594" s="63" t="n"/>
    </row>
    <row r="595">
      <c r="K595" s="651" t="n">
        <v>0.006747685185185186</v>
      </c>
      <c r="L595" s="63" t="n"/>
      <c r="M595" s="63" t="n"/>
    </row>
    <row r="596">
      <c r="K596" s="651" t="n">
        <v>0.006759259259259259</v>
      </c>
      <c r="L596" s="63" t="n"/>
      <c r="M596" s="63" t="n"/>
    </row>
    <row r="597">
      <c r="K597" s="651" t="n">
        <v>0.006770833333333334</v>
      </c>
      <c r="L597" s="63" t="n"/>
      <c r="M597" s="63" t="n"/>
    </row>
    <row r="598">
      <c r="K598" s="651" t="n">
        <v>0.006782407407407407</v>
      </c>
      <c r="L598" s="63" t="n"/>
      <c r="M598" s="63" t="n"/>
    </row>
    <row r="599">
      <c r="K599" s="651" t="n">
        <v>0.006793981481481482</v>
      </c>
      <c r="L599" s="63" t="n"/>
      <c r="M599" s="63" t="n"/>
    </row>
    <row r="600">
      <c r="K600" s="651" t="n">
        <v>0.006805555555555555</v>
      </c>
      <c r="L600" s="63" t="n"/>
      <c r="M600" s="63" t="n"/>
    </row>
    <row r="601">
      <c r="K601" s="651" t="n">
        <v>0.00681712962962963</v>
      </c>
      <c r="L601" s="63" t="n"/>
      <c r="M601" s="63" t="n"/>
    </row>
    <row r="602">
      <c r="K602" s="651" t="n">
        <v>0.006828703703703704</v>
      </c>
      <c r="L602" s="63" t="n"/>
      <c r="M602" s="63" t="n"/>
    </row>
    <row r="603">
      <c r="K603" s="651" t="n">
        <v>0.006840277777777778</v>
      </c>
      <c r="L603" s="63" t="n"/>
      <c r="M603" s="63" t="n"/>
    </row>
    <row r="604">
      <c r="K604" s="651" t="n">
        <v>0.006851851851851852</v>
      </c>
      <c r="L604" s="63" t="n"/>
      <c r="M604" s="63" t="n"/>
    </row>
    <row r="605">
      <c r="K605" s="651" t="n">
        <v>0.006863425925925926</v>
      </c>
      <c r="L605" s="63" t="n"/>
      <c r="M605" s="63" t="n"/>
    </row>
    <row r="606">
      <c r="K606" s="651" t="n">
        <v>0.006875</v>
      </c>
      <c r="L606" s="63" t="n"/>
      <c r="M606" s="63" t="n"/>
    </row>
    <row r="607">
      <c r="K607" s="651" t="n">
        <v>0.006886574074074074</v>
      </c>
      <c r="L607" s="63" t="n"/>
      <c r="M607" s="63" t="n"/>
    </row>
    <row r="608">
      <c r="K608" s="651" t="n">
        <v>0.006898148148148148</v>
      </c>
      <c r="L608" s="63" t="n"/>
      <c r="M608" s="63" t="n"/>
    </row>
    <row r="609">
      <c r="K609" s="651" t="n">
        <v>0.006909722222222222</v>
      </c>
      <c r="L609" s="63" t="n"/>
      <c r="M609" s="63" t="n"/>
    </row>
    <row r="610">
      <c r="K610" s="651" t="n">
        <v>0.006921296296296296</v>
      </c>
      <c r="L610" s="63" t="n"/>
      <c r="M610" s="63" t="n"/>
    </row>
    <row r="611">
      <c r="K611" s="651" t="n">
        <v>0.00693287037037037</v>
      </c>
      <c r="L611" s="63" t="n"/>
      <c r="M611" s="63" t="n"/>
    </row>
    <row r="612">
      <c r="K612" s="651" t="n">
        <v>0.006944444444444444</v>
      </c>
      <c r="L612" s="63" t="n"/>
      <c r="M612" s="63" t="n"/>
    </row>
    <row r="613">
      <c r="K613" s="651" t="n">
        <v>0.006956018518518518</v>
      </c>
      <c r="L613" s="63" t="n"/>
      <c r="M613" s="63" t="n"/>
    </row>
    <row r="614">
      <c r="K614" s="651" t="n">
        <v>0.006967592592592593</v>
      </c>
      <c r="L614" s="63" t="n"/>
      <c r="M614" s="63" t="n"/>
    </row>
    <row r="615">
      <c r="K615" s="651" t="n">
        <v>0.006979166666666667</v>
      </c>
      <c r="L615" s="63" t="n"/>
      <c r="M615" s="63" t="n"/>
    </row>
    <row r="616">
      <c r="K616" s="651" t="n">
        <v>0.006990740740740741</v>
      </c>
      <c r="L616" s="63" t="n"/>
      <c r="M616" s="63" t="n"/>
    </row>
    <row r="617">
      <c r="K617" s="651" t="n">
        <v>0.007002314814814815</v>
      </c>
      <c r="L617" s="63" t="n"/>
      <c r="M617" s="63" t="n"/>
    </row>
    <row r="618">
      <c r="K618" s="651" t="n">
        <v>0.007013888888888889</v>
      </c>
      <c r="L618" s="63" t="n"/>
      <c r="M618" s="63" t="n"/>
    </row>
    <row r="619">
      <c r="K619" s="651" t="n">
        <v>0.007025462962962963</v>
      </c>
      <c r="L619" s="63" t="n"/>
      <c r="M619" s="63" t="n"/>
    </row>
    <row r="620">
      <c r="K620" s="651" t="n">
        <v>0.007037037037037037</v>
      </c>
      <c r="L620" s="63" t="n"/>
      <c r="M620" s="63" t="n"/>
    </row>
    <row r="621">
      <c r="K621" s="651" t="n">
        <v>0.007048611111111111</v>
      </c>
      <c r="L621" s="63" t="n"/>
      <c r="M621" s="63" t="n"/>
    </row>
    <row r="622">
      <c r="K622" s="651" t="n">
        <v>0.007060185185185185</v>
      </c>
      <c r="L622" s="63" t="n"/>
      <c r="M622" s="63" t="n"/>
    </row>
    <row r="623">
      <c r="K623" s="651" t="n">
        <v>0.007071759259259259</v>
      </c>
      <c r="L623" s="63" t="n"/>
      <c r="M623" s="63" t="n"/>
    </row>
    <row r="624">
      <c r="K624" s="651" t="n">
        <v>0.007083333333333333</v>
      </c>
      <c r="L624" s="63" t="n"/>
      <c r="M624" s="63" t="n"/>
    </row>
    <row r="625">
      <c r="K625" s="651" t="n">
        <v>0.007094907407407407</v>
      </c>
      <c r="L625" s="63" t="n"/>
      <c r="M625" s="63" t="n"/>
    </row>
    <row r="626">
      <c r="K626" s="651" t="n">
        <v>0.007106481481481482</v>
      </c>
      <c r="L626" s="63" t="n"/>
      <c r="M626" s="63" t="n"/>
    </row>
    <row r="627">
      <c r="K627" s="651" t="n">
        <v>0.007118055555555555</v>
      </c>
      <c r="L627" s="63" t="n"/>
      <c r="M627" s="63" t="n"/>
    </row>
    <row r="628">
      <c r="K628" s="651" t="n">
        <v>0.00712962962962963</v>
      </c>
      <c r="L628" s="63" t="n"/>
      <c r="M628" s="63" t="n"/>
    </row>
    <row r="629">
      <c r="K629" s="651" t="n">
        <v>0.007141203703703703</v>
      </c>
      <c r="L629" s="63" t="n"/>
      <c r="M629" s="63" t="n"/>
    </row>
    <row r="630">
      <c r="K630" s="651" t="n">
        <v>0.007152777777777778</v>
      </c>
      <c r="L630" s="63" t="n"/>
      <c r="M630" s="63" t="n"/>
    </row>
    <row r="631">
      <c r="K631" s="651" t="n">
        <v>0.007164351851851851</v>
      </c>
      <c r="L631" s="63" t="n"/>
      <c r="M631" s="63" t="n"/>
    </row>
    <row r="632">
      <c r="K632" s="651" t="n">
        <v>0.007175925925925926</v>
      </c>
      <c r="L632" s="63" t="n"/>
      <c r="M632" s="63" t="n"/>
    </row>
    <row r="633">
      <c r="K633" s="651" t="n">
        <v>0.0071875</v>
      </c>
      <c r="L633" s="63" t="n"/>
      <c r="M633" s="63" t="n"/>
    </row>
    <row r="634">
      <c r="K634" s="651" t="n">
        <v>0.007199074074074074</v>
      </c>
      <c r="L634" s="63" t="n"/>
      <c r="M634" s="63" t="n"/>
    </row>
    <row r="635">
      <c r="K635" s="651" t="n">
        <v>0.007210648148148148</v>
      </c>
      <c r="L635" s="63" t="n"/>
      <c r="M635" s="63" t="n"/>
    </row>
    <row r="636">
      <c r="K636" s="651" t="n">
        <v>0.007222222222222222</v>
      </c>
      <c r="L636" s="63" t="n"/>
      <c r="M636" s="63" t="n"/>
    </row>
    <row r="637">
      <c r="K637" s="651" t="n">
        <v>0.007233796296296296</v>
      </c>
      <c r="L637" s="63" t="n"/>
      <c r="M637" s="63" t="n"/>
    </row>
    <row r="638">
      <c r="K638" s="651" t="n">
        <v>0.007245370370370371</v>
      </c>
      <c r="L638" s="63" t="n"/>
      <c r="M638" s="63" t="n"/>
    </row>
    <row r="639">
      <c r="K639" s="651" t="n">
        <v>0.007256944444444444</v>
      </c>
      <c r="L639" s="63" t="n"/>
      <c r="M639" s="63" t="n"/>
    </row>
    <row r="640">
      <c r="K640" s="651" t="n">
        <v>0.007268518518518519</v>
      </c>
      <c r="L640" s="63" t="n"/>
      <c r="M640" s="63" t="n"/>
    </row>
    <row r="641">
      <c r="K641" s="651" t="n">
        <v>0.007280092592592592</v>
      </c>
      <c r="L641" s="63" t="n"/>
      <c r="M641" s="63" t="n"/>
    </row>
    <row r="642">
      <c r="K642" s="651" t="n">
        <v>0.007291666666666667</v>
      </c>
      <c r="L642" s="63" t="n"/>
      <c r="M642" s="63" t="n"/>
    </row>
    <row r="643">
      <c r="K643" s="651" t="n">
        <v>0.00730324074074074</v>
      </c>
      <c r="L643" s="63" t="n"/>
      <c r="M643" s="63" t="n"/>
    </row>
    <row r="644">
      <c r="K644" s="651" t="n">
        <v>0.007314814814814815</v>
      </c>
      <c r="L644" s="63" t="n"/>
      <c r="M644" s="63" t="n"/>
    </row>
    <row r="645">
      <c r="K645" s="651" t="n">
        <v>0.007326388888888889</v>
      </c>
      <c r="L645" s="63" t="n"/>
      <c r="M645" s="63" t="n"/>
    </row>
    <row r="646">
      <c r="K646" s="651" t="n">
        <v>0.007337962962962963</v>
      </c>
      <c r="L646" s="63" t="n"/>
      <c r="M646" s="63" t="n"/>
    </row>
    <row r="647">
      <c r="K647" s="651" t="n">
        <v>0.007349537037037037</v>
      </c>
      <c r="L647" s="63" t="n"/>
      <c r="M647" s="63" t="n"/>
    </row>
    <row r="648">
      <c r="K648" s="651" t="n">
        <v>0.007361111111111111</v>
      </c>
      <c r="L648" s="63" t="n"/>
      <c r="M648" s="63" t="n"/>
    </row>
    <row r="649">
      <c r="K649" s="651" t="n">
        <v>0.007372685185185185</v>
      </c>
      <c r="L649" s="63" t="n"/>
      <c r="M649" s="63" t="n"/>
    </row>
    <row r="650">
      <c r="K650" s="651" t="n">
        <v>0.00738425925925926</v>
      </c>
      <c r="L650" s="63" t="n"/>
      <c r="M650" s="63" t="n"/>
    </row>
    <row r="651">
      <c r="K651" s="651" t="n">
        <v>0.007395833333333333</v>
      </c>
      <c r="L651" s="63" t="n"/>
      <c r="M651" s="63" t="n"/>
    </row>
    <row r="652">
      <c r="K652" s="651" t="n">
        <v>0.007407407407407408</v>
      </c>
      <c r="L652" s="63" t="n"/>
      <c r="M652" s="63" t="n"/>
    </row>
    <row r="653">
      <c r="K653" s="651" t="n">
        <v>0.007418981481481481</v>
      </c>
      <c r="L653" s="63" t="n"/>
      <c r="M653" s="63" t="n"/>
    </row>
    <row r="654">
      <c r="K654" s="651" t="n">
        <v>0.007430555555555556</v>
      </c>
      <c r="L654" s="63" t="n"/>
      <c r="M654" s="63" t="n"/>
    </row>
    <row r="655">
      <c r="K655" s="651" t="n">
        <v>0.007442129629629629</v>
      </c>
      <c r="L655" s="63" t="n"/>
      <c r="M655" s="63" t="n"/>
    </row>
    <row r="656">
      <c r="K656" s="651" t="n">
        <v>0.007453703703703704</v>
      </c>
      <c r="L656" s="63" t="n"/>
      <c r="M656" s="63" t="n"/>
    </row>
    <row r="657">
      <c r="K657" s="651" t="n">
        <v>0.007465277777777778</v>
      </c>
      <c r="L657" s="63" t="n"/>
      <c r="M657" s="63" t="n"/>
    </row>
    <row r="658">
      <c r="K658" s="651" t="n">
        <v>0.007476851851851852</v>
      </c>
      <c r="L658" s="63" t="n"/>
      <c r="M658" s="63" t="n"/>
    </row>
    <row r="659">
      <c r="K659" s="651" t="n">
        <v>0.007488425925925926</v>
      </c>
      <c r="L659" s="63" t="n"/>
      <c r="M659" s="63" t="n"/>
    </row>
    <row r="660">
      <c r="K660" s="651" t="n">
        <v>0.0075</v>
      </c>
      <c r="L660" s="63" t="n"/>
      <c r="M660" s="63" t="n"/>
    </row>
    <row r="661">
      <c r="K661" s="651" t="n">
        <v>0.007511574074074074</v>
      </c>
      <c r="L661" s="63" t="n"/>
      <c r="M661" s="63" t="n"/>
    </row>
    <row r="662">
      <c r="K662" s="651" t="n">
        <v>0.007523148148148148</v>
      </c>
      <c r="L662" s="63" t="n"/>
      <c r="M662" s="63" t="n"/>
    </row>
    <row r="663">
      <c r="K663" s="651" t="n">
        <v>0.007534722222222222</v>
      </c>
      <c r="L663" s="63" t="n"/>
      <c r="M663" s="63" t="n"/>
    </row>
    <row r="664">
      <c r="K664" s="651" t="n">
        <v>0.007546296296296297</v>
      </c>
      <c r="L664" s="63" t="n"/>
      <c r="M664" s="63" t="n"/>
    </row>
    <row r="665">
      <c r="K665" s="651" t="n">
        <v>0.00755787037037037</v>
      </c>
      <c r="L665" s="63" t="n"/>
      <c r="M665" s="63" t="n"/>
    </row>
    <row r="666">
      <c r="K666" s="651" t="n">
        <v>0.007569444444444445</v>
      </c>
      <c r="L666" s="63" t="n"/>
      <c r="M666" s="63" t="n"/>
    </row>
    <row r="667">
      <c r="K667" s="651" t="n">
        <v>0.007581018518518518</v>
      </c>
      <c r="L667" s="63" t="n"/>
      <c r="M667" s="63" t="n"/>
    </row>
    <row r="668">
      <c r="K668" s="651" t="n">
        <v>0.007592592592592593</v>
      </c>
      <c r="L668" s="63" t="n"/>
      <c r="M668" s="63" t="n"/>
    </row>
    <row r="669">
      <c r="K669" s="651" t="n">
        <v>0.007604166666666667</v>
      </c>
      <c r="L669" s="63" t="n"/>
      <c r="M669" s="63" t="n"/>
    </row>
    <row r="670">
      <c r="K670" s="651" t="n">
        <v>0.007615740740740741</v>
      </c>
      <c r="L670" s="63" t="n"/>
      <c r="M670" s="63" t="n"/>
    </row>
    <row r="671">
      <c r="K671" s="651" t="n">
        <v>0.007627314814814815</v>
      </c>
      <c r="L671" s="63" t="n"/>
      <c r="M671" s="63" t="n"/>
    </row>
    <row r="672">
      <c r="K672" s="651" t="n">
        <v>0.007638888888888889</v>
      </c>
      <c r="L672" s="63" t="n"/>
      <c r="M672" s="63" t="n"/>
    </row>
    <row r="673">
      <c r="K673" s="651" t="n">
        <v>0.007650462962962963</v>
      </c>
      <c r="L673" s="63" t="n"/>
      <c r="M673" s="63" t="n"/>
    </row>
    <row r="674">
      <c r="K674" s="651" t="n">
        <v>0.007662037037037037</v>
      </c>
      <c r="L674" s="63" t="n"/>
      <c r="M674" s="63" t="n"/>
    </row>
    <row r="675">
      <c r="K675" s="651" t="n">
        <v>0.007673611111111111</v>
      </c>
      <c r="L675" s="63" t="n"/>
      <c r="M675" s="63" t="n"/>
    </row>
    <row r="676">
      <c r="K676" s="651" t="n">
        <v>0.007685185185185186</v>
      </c>
      <c r="L676" s="63" t="n"/>
      <c r="M676" s="63" t="n"/>
    </row>
    <row r="677">
      <c r="K677" s="651" t="n">
        <v>0.007696759259259259</v>
      </c>
      <c r="L677" s="63" t="n"/>
      <c r="M677" s="63" t="n"/>
    </row>
    <row r="678">
      <c r="K678" s="651" t="n">
        <v>0.007708333333333334</v>
      </c>
      <c r="L678" s="63" t="n"/>
      <c r="M678" s="63" t="n"/>
    </row>
    <row r="679">
      <c r="K679" s="651" t="n">
        <v>0.007719907407407407</v>
      </c>
      <c r="L679" s="63" t="n"/>
      <c r="M679" s="63" t="n"/>
    </row>
    <row r="680">
      <c r="K680" s="651" t="n">
        <v>0.007731481481481482</v>
      </c>
      <c r="L680" s="63" t="n"/>
      <c r="M680" s="63" t="n"/>
    </row>
    <row r="681">
      <c r="K681" s="651" t="n">
        <v>0.007743055555555556</v>
      </c>
      <c r="L681" s="63" t="n"/>
      <c r="M681" s="63" t="n"/>
    </row>
    <row r="682">
      <c r="K682" s="651" t="n">
        <v>0.00775462962962963</v>
      </c>
      <c r="L682" s="63" t="n"/>
      <c r="M682" s="63" t="n"/>
    </row>
    <row r="683">
      <c r="K683" s="651" t="n">
        <v>0.007766203703703704</v>
      </c>
      <c r="L683" s="63" t="n"/>
      <c r="M683" s="63" t="n"/>
    </row>
    <row r="684">
      <c r="K684" s="651" t="n">
        <v>0.007777777777777778</v>
      </c>
      <c r="L684" s="63" t="n"/>
      <c r="M684" s="63" t="n"/>
    </row>
    <row r="685">
      <c r="K685" s="651" t="n">
        <v>0.007789351851851852</v>
      </c>
      <c r="L685" s="63" t="n"/>
      <c r="M685" s="63" t="n"/>
    </row>
    <row r="686">
      <c r="K686" s="651" t="n">
        <v>0.007800925925925926</v>
      </c>
      <c r="L686" s="63" t="n"/>
      <c r="M686" s="63" t="n"/>
    </row>
    <row r="687">
      <c r="K687" s="651" t="n">
        <v>0.0078125</v>
      </c>
      <c r="L687" s="63" t="n"/>
      <c r="M687" s="63" t="n"/>
    </row>
    <row r="688">
      <c r="K688" s="651" t="n">
        <v>0.007824074074074074</v>
      </c>
      <c r="L688" s="63" t="n"/>
      <c r="M688" s="63" t="n"/>
    </row>
    <row r="689">
      <c r="K689" s="651" t="n">
        <v>0.007835648148148149</v>
      </c>
      <c r="L689" s="63" t="n"/>
      <c r="M689" s="63" t="n"/>
    </row>
    <row r="690">
      <c r="K690" s="651" t="n">
        <v>0.007847222222222222</v>
      </c>
      <c r="L690" s="63" t="n"/>
      <c r="M690" s="63" t="n"/>
    </row>
    <row r="691">
      <c r="K691" s="651" t="n">
        <v>0.007858796296296296</v>
      </c>
      <c r="L691" s="63" t="n"/>
      <c r="M691" s="63" t="n"/>
    </row>
    <row r="692">
      <c r="K692" s="651" t="n">
        <v>0.00787037037037037</v>
      </c>
      <c r="L692" s="63" t="n"/>
      <c r="M692" s="63" t="n"/>
    </row>
    <row r="693">
      <c r="K693" s="651" t="n">
        <v>0.007881944444444445</v>
      </c>
      <c r="L693" s="63" t="n"/>
      <c r="M693" s="63" t="n"/>
    </row>
    <row r="694">
      <c r="K694" s="651" t="n">
        <v>0.007893518518518518</v>
      </c>
      <c r="L694" s="63" t="n"/>
      <c r="M694" s="63" t="n"/>
    </row>
    <row r="695">
      <c r="K695" s="651" t="n">
        <v>0.007905092592592592</v>
      </c>
      <c r="L695" s="63" t="n"/>
      <c r="M695" s="63" t="n"/>
    </row>
    <row r="696">
      <c r="K696" s="651" t="n">
        <v>0.007916666666666667</v>
      </c>
      <c r="L696" s="63" t="n"/>
      <c r="M696" s="63" t="n"/>
    </row>
    <row r="697">
      <c r="K697" s="651" t="n">
        <v>0.007928240740740741</v>
      </c>
      <c r="L697" s="63" t="n"/>
      <c r="M697" s="63" t="n"/>
    </row>
    <row r="698">
      <c r="K698" s="651" t="n">
        <v>0.007939814814814814</v>
      </c>
      <c r="L698" s="63" t="n"/>
      <c r="M698" s="63" t="n"/>
    </row>
    <row r="699">
      <c r="K699" s="651" t="n">
        <v>0.007951388888888888</v>
      </c>
      <c r="L699" s="63" t="n"/>
      <c r="M699" s="63" t="n"/>
    </row>
    <row r="700">
      <c r="K700" s="651" t="n">
        <v>0.007962962962962963</v>
      </c>
      <c r="L700" s="63" t="n"/>
      <c r="M700" s="63" t="n"/>
    </row>
    <row r="701">
      <c r="K701" s="651" t="n">
        <v>0.007974537037037037</v>
      </c>
      <c r="L701" s="63" t="n"/>
      <c r="M701" s="63" t="n"/>
    </row>
    <row r="702">
      <c r="K702" s="651" t="n">
        <v>0.00798611111111111</v>
      </c>
      <c r="L702" s="63" t="n"/>
      <c r="M702" s="63" t="n"/>
    </row>
    <row r="703">
      <c r="K703" s="651" t="n">
        <v>0.007997685185185186</v>
      </c>
      <c r="L703" s="63" t="n"/>
      <c r="M703" s="63" t="n"/>
    </row>
    <row r="704">
      <c r="K704" s="651" t="n">
        <v>0.008009259259259259</v>
      </c>
      <c r="L704" s="63" t="n"/>
      <c r="M704" s="63" t="n"/>
    </row>
    <row r="705">
      <c r="K705" s="651" t="n">
        <v>0.008020833333333333</v>
      </c>
      <c r="L705" s="63" t="n"/>
      <c r="M705" s="63" t="n"/>
    </row>
    <row r="706">
      <c r="K706" s="651" t="n">
        <v>0.008032407407407408</v>
      </c>
      <c r="L706" s="63" t="n"/>
      <c r="M706" s="63" t="n"/>
    </row>
    <row r="707">
      <c r="K707" s="651" t="n">
        <v>0.008043981481481482</v>
      </c>
      <c r="L707" s="63" t="n"/>
      <c r="M707" s="63" t="n"/>
    </row>
    <row r="708">
      <c r="K708" s="651" t="n">
        <v>0.008055555555555555</v>
      </c>
      <c r="L708" s="63" t="n"/>
      <c r="M708" s="63" t="n"/>
    </row>
    <row r="709">
      <c r="K709" s="651" t="n">
        <v>0.008067129629629629</v>
      </c>
      <c r="L709" s="63" t="n"/>
      <c r="M709" s="63" t="n"/>
    </row>
    <row r="710">
      <c r="K710" s="651" t="n">
        <v>0.008078703703703704</v>
      </c>
      <c r="L710" s="63" t="n"/>
      <c r="M710" s="63" t="n"/>
    </row>
    <row r="711">
      <c r="K711" s="651" t="n">
        <v>0.008090277777777778</v>
      </c>
      <c r="L711" s="63" t="n"/>
      <c r="M711" s="63" t="n"/>
    </row>
    <row r="712">
      <c r="K712" s="651" t="n">
        <v>0.008101851851851851</v>
      </c>
      <c r="L712" s="63" t="n"/>
      <c r="M712" s="63" t="n"/>
    </row>
    <row r="713">
      <c r="K713" s="651" t="n">
        <v>0.008113425925925927</v>
      </c>
      <c r="L713" s="63" t="n"/>
      <c r="M713" s="63" t="n"/>
    </row>
    <row r="714">
      <c r="K714" s="651" t="n">
        <v>0.008125</v>
      </c>
      <c r="L714" s="63" t="n"/>
      <c r="M714" s="63" t="n"/>
    </row>
    <row r="715">
      <c r="K715" s="651" t="n">
        <v>0.008136574074074074</v>
      </c>
      <c r="L715" s="63" t="n"/>
      <c r="M715" s="63" t="n"/>
    </row>
    <row r="716">
      <c r="K716" s="651" t="n">
        <v>0.008148148148148147</v>
      </c>
      <c r="L716" s="63" t="n"/>
      <c r="M716" s="63" t="n"/>
    </row>
    <row r="717">
      <c r="K717" s="651" t="n">
        <v>0.008159722222222223</v>
      </c>
      <c r="L717" s="63" t="n"/>
      <c r="M717" s="63" t="n"/>
    </row>
    <row r="718">
      <c r="K718" s="651" t="n">
        <v>0.008171296296296296</v>
      </c>
      <c r="L718" s="63" t="n"/>
      <c r="M718" s="63" t="n"/>
    </row>
    <row r="719">
      <c r="K719" s="651" t="n">
        <v>0.00818287037037037</v>
      </c>
      <c r="L719" s="63" t="n"/>
      <c r="M719" s="63" t="n"/>
    </row>
    <row r="720">
      <c r="K720" s="651" t="n">
        <v>0.008194444444444445</v>
      </c>
      <c r="L720" s="63" t="n"/>
      <c r="M720" s="63" t="n"/>
    </row>
    <row r="721">
      <c r="K721" s="651" t="n">
        <v>0.008206018518518519</v>
      </c>
      <c r="L721" s="63" t="n"/>
      <c r="M721" s="63" t="n"/>
    </row>
    <row r="722">
      <c r="K722" s="651" t="n">
        <v>0.008217592592592592</v>
      </c>
      <c r="L722" s="63" t="n"/>
      <c r="M722" s="63" t="n"/>
    </row>
    <row r="723">
      <c r="K723" s="651" t="n">
        <v>0.008229166666666666</v>
      </c>
      <c r="L723" s="63" t="n"/>
      <c r="M723" s="63" t="n"/>
    </row>
    <row r="724">
      <c r="K724" s="651" t="n">
        <v>0.008240740740740741</v>
      </c>
      <c r="L724" s="63" t="n"/>
      <c r="M724" s="63" t="n"/>
    </row>
    <row r="725">
      <c r="K725" s="651" t="n">
        <v>0.008252314814814815</v>
      </c>
      <c r="L725" s="63" t="n"/>
      <c r="M725" s="63" t="n"/>
    </row>
    <row r="726">
      <c r="K726" s="651" t="n">
        <v>0.008263888888888888</v>
      </c>
      <c r="L726" s="63" t="n"/>
      <c r="M726" s="63" t="n"/>
    </row>
    <row r="727">
      <c r="K727" s="651" t="n">
        <v>0.008275462962962964</v>
      </c>
      <c r="L727" s="63" t="n"/>
      <c r="M727" s="63" t="n"/>
    </row>
    <row r="728">
      <c r="K728" s="651" t="n">
        <v>0.008287037037037037</v>
      </c>
      <c r="L728" s="63" t="n"/>
      <c r="M728" s="63" t="n"/>
    </row>
    <row r="729">
      <c r="K729" s="651" t="n">
        <v>0.008298611111111111</v>
      </c>
      <c r="L729" s="63" t="n"/>
      <c r="M729" s="63" t="n"/>
    </row>
    <row r="730">
      <c r="K730" s="651" t="n">
        <v>0.008310185185185184</v>
      </c>
      <c r="L730" s="63" t="n"/>
      <c r="M730" s="63" t="n"/>
    </row>
    <row r="731">
      <c r="K731" s="651" t="n">
        <v>0.00832175925925926</v>
      </c>
      <c r="L731" s="63" t="n"/>
      <c r="M731" s="63" t="n"/>
    </row>
    <row r="732">
      <c r="K732" s="651" t="n">
        <v>0.008333333333333333</v>
      </c>
      <c r="L732" s="63" t="n"/>
      <c r="M732" s="63" t="n"/>
    </row>
    <row r="733">
      <c r="K733" s="651" t="n">
        <v>0.008344907407407407</v>
      </c>
      <c r="L733" s="63" t="n"/>
      <c r="M733" s="63" t="n"/>
    </row>
    <row r="734">
      <c r="K734" s="651" t="n">
        <v>0.008356481481481482</v>
      </c>
      <c r="L734" s="63" t="n"/>
      <c r="M734" s="63" t="n"/>
    </row>
    <row r="735">
      <c r="K735" s="651" t="n">
        <v>0.008368055555555556</v>
      </c>
      <c r="L735" s="63" t="n"/>
      <c r="M735" s="63" t="n"/>
    </row>
    <row r="736">
      <c r="K736" s="651" t="n">
        <v>0.008379629629629629</v>
      </c>
      <c r="L736" s="63" t="n"/>
      <c r="M736" s="63" t="n"/>
    </row>
    <row r="737">
      <c r="K737" s="651" t="n">
        <v>0.008391203703703705</v>
      </c>
      <c r="L737" s="63" t="n"/>
      <c r="M737" s="63" t="n"/>
    </row>
    <row r="738">
      <c r="K738" s="651" t="n">
        <v>0.008402777777777778</v>
      </c>
      <c r="L738" s="63" t="n"/>
      <c r="M738" s="63" t="n"/>
    </row>
    <row r="739">
      <c r="K739" s="651" t="n">
        <v>0.008414351851851852</v>
      </c>
      <c r="L739" s="63" t="n"/>
      <c r="M739" s="63" t="n"/>
    </row>
    <row r="740">
      <c r="K740" s="651" t="n">
        <v>0.008425925925925925</v>
      </c>
      <c r="L740" s="63" t="n"/>
      <c r="M740" s="63" t="n"/>
    </row>
    <row r="741">
      <c r="K741" s="651" t="n">
        <v>0.008437500000000001</v>
      </c>
      <c r="L741" s="63" t="n"/>
      <c r="M741" s="63" t="n"/>
    </row>
    <row r="742">
      <c r="K742" s="651" t="n">
        <v>0.008449074074074074</v>
      </c>
      <c r="L742" s="63" t="n"/>
      <c r="M742" s="63" t="n"/>
    </row>
    <row r="743">
      <c r="K743" s="651" t="n">
        <v>0.008460648148148148</v>
      </c>
      <c r="L743" s="63" t="n"/>
      <c r="M743" s="63" t="n"/>
    </row>
    <row r="744">
      <c r="K744" s="651" t="n">
        <v>0.008472222222222223</v>
      </c>
      <c r="L744" s="63" t="n"/>
      <c r="M744" s="63" t="n"/>
    </row>
    <row r="745">
      <c r="K745" s="651" t="n">
        <v>0.008483796296296297</v>
      </c>
      <c r="L745" s="63" t="n"/>
      <c r="M745" s="63" t="n"/>
    </row>
    <row r="746">
      <c r="K746" s="651" t="n">
        <v>0.00849537037037037</v>
      </c>
      <c r="L746" s="63" t="n"/>
      <c r="M746" s="63" t="n"/>
    </row>
    <row r="747">
      <c r="K747" s="651" t="n">
        <v>0.008506944444444444</v>
      </c>
      <c r="L747" s="63" t="n"/>
      <c r="M747" s="63" t="n"/>
    </row>
    <row r="748">
      <c r="K748" s="651" t="n">
        <v>0.008518518518518519</v>
      </c>
      <c r="L748" s="63" t="n"/>
      <c r="M748" s="63" t="n"/>
    </row>
    <row r="749">
      <c r="K749" s="651" t="n">
        <v>0.008530092592592593</v>
      </c>
      <c r="L749" s="63" t="n"/>
      <c r="M749" s="63" t="n"/>
    </row>
    <row r="750">
      <c r="K750" s="651" t="n">
        <v>0.008541666666666666</v>
      </c>
      <c r="L750" s="63" t="n"/>
      <c r="M750" s="63" t="n"/>
    </row>
    <row r="751">
      <c r="K751" s="651" t="n">
        <v>0.008553240740740741</v>
      </c>
      <c r="L751" s="63" t="n"/>
      <c r="M751" s="63" t="n"/>
    </row>
    <row r="752">
      <c r="K752" s="651" t="n">
        <v>0.008564814814814815</v>
      </c>
      <c r="L752" s="63" t="n"/>
      <c r="M752" s="63" t="n"/>
    </row>
    <row r="753">
      <c r="K753" s="651" t="n">
        <v>0.008576388888888889</v>
      </c>
      <c r="L753" s="63" t="n"/>
      <c r="M753" s="63" t="n"/>
    </row>
    <row r="754">
      <c r="K754" s="651" t="n">
        <v>0.008587962962962962</v>
      </c>
      <c r="L754" s="63" t="n"/>
      <c r="M754" s="63" t="n"/>
    </row>
    <row r="755">
      <c r="K755" s="651" t="n">
        <v>0.008599537037037037</v>
      </c>
      <c r="L755" s="63" t="n"/>
      <c r="M755" s="63" t="n"/>
    </row>
    <row r="756">
      <c r="K756" s="651" t="n">
        <v>0.008611111111111111</v>
      </c>
      <c r="L756" s="63" t="n"/>
      <c r="M756" s="63" t="n"/>
    </row>
    <row r="757">
      <c r="K757" s="651" t="n">
        <v>0.008622685185185185</v>
      </c>
      <c r="L757" s="63" t="n"/>
      <c r="M757" s="63" t="n"/>
    </row>
    <row r="758">
      <c r="K758" s="651" t="n">
        <v>0.00863425925925926</v>
      </c>
      <c r="L758" s="63" t="n"/>
      <c r="M758" s="63" t="n"/>
    </row>
    <row r="759">
      <c r="K759" s="651" t="n">
        <v>0.008645833333333333</v>
      </c>
      <c r="L759" s="63" t="n"/>
      <c r="M759" s="63" t="n"/>
    </row>
    <row r="760">
      <c r="K760" s="651" t="n">
        <v>0.008657407407407407</v>
      </c>
      <c r="L760" s="63" t="n"/>
      <c r="M760" s="63" t="n"/>
    </row>
    <row r="761">
      <c r="K761" s="651" t="n">
        <v>0.008668981481481481</v>
      </c>
      <c r="L761" s="63" t="n"/>
      <c r="M761" s="63" t="n"/>
    </row>
    <row r="762">
      <c r="K762" s="651" t="n">
        <v>0.008680555555555556</v>
      </c>
      <c r="L762" s="63" t="n"/>
      <c r="M762" s="63" t="n"/>
    </row>
    <row r="763">
      <c r="K763" s="651" t="n">
        <v>0.00869212962962963</v>
      </c>
      <c r="L763" s="63" t="n"/>
      <c r="M763" s="63" t="n"/>
    </row>
    <row r="764">
      <c r="K764" s="651" t="n">
        <v>0.008703703703703703</v>
      </c>
      <c r="L764" s="63" t="n"/>
      <c r="M764" s="63" t="n"/>
    </row>
    <row r="765">
      <c r="K765" s="651" t="n">
        <v>0.008715277777777778</v>
      </c>
      <c r="L765" s="63" t="n"/>
      <c r="M765" s="63" t="n"/>
    </row>
    <row r="766">
      <c r="K766" s="651" t="n">
        <v>0.008726851851851852</v>
      </c>
      <c r="L766" s="63" t="n"/>
      <c r="M766" s="63" t="n"/>
    </row>
    <row r="767">
      <c r="K767" s="651" t="n">
        <v>0.008738425925925926</v>
      </c>
      <c r="L767" s="63" t="n"/>
      <c r="M767" s="63" t="n"/>
    </row>
    <row r="768">
      <c r="K768" s="651" t="n">
        <v>0.008750000000000001</v>
      </c>
      <c r="L768" s="63" t="n"/>
      <c r="M768" s="63" t="n"/>
    </row>
    <row r="769">
      <c r="K769" s="651" t="n">
        <v>0.008761574074074074</v>
      </c>
      <c r="L769" s="63" t="n"/>
      <c r="M769" s="63" t="n"/>
    </row>
    <row r="770">
      <c r="K770" s="651" t="n">
        <v>0.008773148148148148</v>
      </c>
      <c r="L770" s="63" t="n"/>
      <c r="M770" s="63" t="n"/>
    </row>
    <row r="771">
      <c r="K771" s="651" t="n">
        <v>0.008784722222222222</v>
      </c>
      <c r="L771" s="63" t="n"/>
      <c r="M771" s="63" t="n"/>
    </row>
    <row r="772">
      <c r="K772" s="651" t="n">
        <v>0.008796296296296297</v>
      </c>
      <c r="L772" s="63" t="n"/>
      <c r="M772" s="63" t="n"/>
    </row>
    <row r="773">
      <c r="K773" s="651" t="n">
        <v>0.00880787037037037</v>
      </c>
      <c r="L773" s="63" t="n"/>
      <c r="M773" s="63" t="n"/>
    </row>
    <row r="774">
      <c r="K774" s="651" t="n">
        <v>0.008819444444444444</v>
      </c>
      <c r="L774" s="63" t="n"/>
      <c r="M774" s="63" t="n"/>
    </row>
    <row r="775">
      <c r="K775" s="651" t="n">
        <v>0.008831018518518519</v>
      </c>
      <c r="L775" s="63" t="n"/>
      <c r="M775" s="63" t="n"/>
    </row>
    <row r="776">
      <c r="K776" s="651" t="n">
        <v>0.008842592592592593</v>
      </c>
      <c r="L776" s="63" t="n"/>
      <c r="M776" s="63" t="n"/>
    </row>
    <row r="777">
      <c r="K777" s="651" t="n">
        <v>0.008854166666666666</v>
      </c>
      <c r="L777" s="63" t="n"/>
      <c r="M777" s="63" t="n"/>
    </row>
    <row r="778">
      <c r="K778" s="651" t="n">
        <v>0.00886574074074074</v>
      </c>
      <c r="L778" s="63" t="n"/>
      <c r="M778" s="63" t="n"/>
    </row>
    <row r="779">
      <c r="K779" s="651" t="n">
        <v>0.008877314814814815</v>
      </c>
      <c r="L779" s="63" t="n"/>
      <c r="M779" s="63" t="n"/>
    </row>
    <row r="780">
      <c r="K780" s="651" t="n">
        <v>0.008888888888888889</v>
      </c>
      <c r="L780" s="63" t="n"/>
      <c r="M780" s="63" t="n"/>
    </row>
    <row r="781">
      <c r="K781" s="651" t="n">
        <v>0.008900462962962962</v>
      </c>
      <c r="L781" s="63" t="n"/>
      <c r="M781" s="63" t="n"/>
    </row>
    <row r="782">
      <c r="K782" s="651" t="n">
        <v>0.008912037037037038</v>
      </c>
      <c r="L782" s="63" t="n"/>
      <c r="M782" s="63" t="n"/>
    </row>
    <row r="783">
      <c r="K783" s="651" t="n">
        <v>0.008923611111111111</v>
      </c>
      <c r="L783" s="63" t="n"/>
      <c r="M783" s="63" t="n"/>
    </row>
    <row r="784">
      <c r="K784" s="651" t="n">
        <v>0.008935185185185185</v>
      </c>
      <c r="L784" s="63" t="n"/>
      <c r="M784" s="63" t="n"/>
    </row>
    <row r="785">
      <c r="K785" s="651" t="n">
        <v>0.008946759259259258</v>
      </c>
      <c r="L785" s="63" t="n"/>
      <c r="M785" s="63" t="n"/>
    </row>
    <row r="786">
      <c r="K786" s="651" t="n">
        <v>0.008958333333333334</v>
      </c>
      <c r="L786" s="63" t="n"/>
      <c r="M786" s="63" t="n"/>
    </row>
    <row r="787">
      <c r="K787" s="651" t="n">
        <v>0.008969907407407407</v>
      </c>
      <c r="L787" s="63" t="n"/>
      <c r="M787" s="63" t="n"/>
    </row>
    <row r="788">
      <c r="K788" s="651" t="n">
        <v>0.008981481481481481</v>
      </c>
      <c r="L788" s="63" t="n"/>
      <c r="M788" s="63" t="n"/>
    </row>
    <row r="789">
      <c r="K789" s="651" t="n">
        <v>0.008993055555555556</v>
      </c>
      <c r="L789" s="63" t="n"/>
      <c r="M789" s="63" t="n"/>
    </row>
    <row r="790">
      <c r="K790" s="651" t="n">
        <v>0.00900462962962963</v>
      </c>
      <c r="L790" s="63" t="n"/>
      <c r="M790" s="63" t="n"/>
    </row>
    <row r="791">
      <c r="K791" s="651" t="n">
        <v>0.009016203703703703</v>
      </c>
      <c r="L791" s="63" t="n"/>
      <c r="M791" s="63" t="n"/>
    </row>
    <row r="792">
      <c r="K792" s="651" t="n">
        <v>0.009027777777777777</v>
      </c>
      <c r="L792" s="63" t="n"/>
      <c r="M792" s="63" t="n"/>
    </row>
    <row r="793">
      <c r="K793" s="651" t="n">
        <v>0.009039351851851852</v>
      </c>
      <c r="L793" s="63" t="n"/>
      <c r="M793" s="63" t="n"/>
    </row>
    <row r="794">
      <c r="K794" s="651" t="n">
        <v>0.009050925925925926</v>
      </c>
      <c r="L794" s="63" t="n"/>
      <c r="M794" s="63" t="n"/>
    </row>
    <row r="795">
      <c r="K795" s="651" t="n">
        <v>0.009062499999999999</v>
      </c>
      <c r="L795" s="63" t="n"/>
      <c r="M795" s="63" t="n"/>
    </row>
    <row r="796">
      <c r="K796" s="651" t="n">
        <v>0.009074074074074075</v>
      </c>
      <c r="L796" s="63" t="n"/>
      <c r="M796" s="63" t="n"/>
    </row>
    <row r="797">
      <c r="K797" s="651" t="n">
        <v>0.009085648148148148</v>
      </c>
      <c r="L797" s="63" t="n"/>
      <c r="M797" s="63" t="n"/>
    </row>
    <row r="798">
      <c r="K798" s="651" t="n">
        <v>0.009097222222222222</v>
      </c>
      <c r="L798" s="63" t="n"/>
      <c r="M798" s="63" t="n"/>
    </row>
    <row r="799">
      <c r="K799" s="651" t="n">
        <v>0.009108796296296297</v>
      </c>
      <c r="L799" s="63" t="n"/>
      <c r="M799" s="63" t="n"/>
    </row>
    <row r="800">
      <c r="K800" s="651" t="n">
        <v>0.009120370370370371</v>
      </c>
      <c r="L800" s="63" t="n"/>
      <c r="M800" s="63" t="n"/>
    </row>
    <row r="801">
      <c r="K801" s="651" t="n">
        <v>0.009131944444444444</v>
      </c>
      <c r="L801" s="63" t="n"/>
      <c r="M801" s="63" t="n"/>
    </row>
    <row r="802">
      <c r="K802" s="651" t="n">
        <v>0.009143518518518518</v>
      </c>
      <c r="L802" s="63" t="n"/>
      <c r="M802" s="63" t="n"/>
    </row>
    <row r="803">
      <c r="K803" s="651" t="n">
        <v>0.009155092592592593</v>
      </c>
      <c r="L803" s="63" t="n"/>
      <c r="M803" s="63" t="n"/>
    </row>
    <row r="804">
      <c r="K804" s="651" t="n">
        <v>0.009166666666666667</v>
      </c>
      <c r="L804" s="63" t="n"/>
      <c r="M804" s="63" t="n"/>
    </row>
    <row r="805">
      <c r="K805" s="651" t="n">
        <v>0.00917824074074074</v>
      </c>
      <c r="L805" s="63" t="n"/>
      <c r="M805" s="63" t="n"/>
    </row>
    <row r="806">
      <c r="K806" s="651" t="n">
        <v>0.009189814814814816</v>
      </c>
      <c r="L806" s="63" t="n"/>
      <c r="M806" s="63" t="n"/>
    </row>
    <row r="807">
      <c r="K807" s="651" t="n">
        <v>0.009201388888888889</v>
      </c>
      <c r="L807" s="63" t="n"/>
      <c r="M807" s="63" t="n"/>
    </row>
    <row r="808">
      <c r="K808" s="651" t="n">
        <v>0.009212962962962963</v>
      </c>
      <c r="L808" s="63" t="n"/>
      <c r="M808" s="63" t="n"/>
    </row>
    <row r="809">
      <c r="K809" s="651" t="n">
        <v>0.009224537037037036</v>
      </c>
      <c r="L809" s="63" t="n"/>
      <c r="M809" s="63" t="n"/>
    </row>
    <row r="810">
      <c r="K810" s="651" t="n">
        <v>0.009236111111111112</v>
      </c>
      <c r="L810" s="63" t="n"/>
      <c r="M810" s="63" t="n"/>
    </row>
    <row r="811">
      <c r="K811" s="651" t="n">
        <v>0.009247685185185185</v>
      </c>
      <c r="L811" s="63" t="n"/>
      <c r="M811" s="63" t="n"/>
    </row>
    <row r="812">
      <c r="K812" s="651" t="n">
        <v>0.009259259259259259</v>
      </c>
      <c r="L812" s="63" t="n"/>
      <c r="M812" s="63" t="n"/>
    </row>
    <row r="813">
      <c r="K813" s="651" t="n">
        <v>0.009270833333333334</v>
      </c>
      <c r="L813" s="63" t="n"/>
      <c r="M813" s="63" t="n"/>
    </row>
    <row r="814">
      <c r="K814" s="651" t="n">
        <v>0.009282407407407408</v>
      </c>
      <c r="L814" s="63" t="n"/>
      <c r="M814" s="63" t="n"/>
    </row>
    <row r="815">
      <c r="K815" s="651" t="n">
        <v>0.009293981481481481</v>
      </c>
      <c r="L815" s="63" t="n"/>
      <c r="M815" s="63" t="n"/>
    </row>
    <row r="816">
      <c r="K816" s="651" t="n">
        <v>0.009305555555555555</v>
      </c>
      <c r="L816" s="63" t="n"/>
      <c r="M816" s="63" t="n"/>
    </row>
    <row r="817">
      <c r="K817" s="651" t="n">
        <v>0.00931712962962963</v>
      </c>
      <c r="L817" s="63" t="n"/>
      <c r="M817" s="63" t="n"/>
    </row>
    <row r="818">
      <c r="K818" s="651" t="n">
        <v>0.009328703703703704</v>
      </c>
      <c r="L818" s="63" t="n"/>
      <c r="M818" s="63" t="n"/>
    </row>
    <row r="819">
      <c r="K819" s="651" t="n">
        <v>0.009340277777777777</v>
      </c>
      <c r="L819" s="63" t="n"/>
      <c r="M819" s="63" t="n"/>
    </row>
    <row r="820">
      <c r="K820" s="651" t="n">
        <v>0.009351851851851853</v>
      </c>
      <c r="L820" s="63" t="n"/>
      <c r="M820" s="63" t="n"/>
    </row>
    <row r="821">
      <c r="K821" s="651" t="n">
        <v>0.009363425925925926</v>
      </c>
      <c r="L821" s="63" t="n"/>
      <c r="M821" s="63" t="n"/>
    </row>
    <row r="822">
      <c r="K822" s="651" t="n">
        <v>0.009375</v>
      </c>
      <c r="L822" s="63" t="n"/>
      <c r="M822" s="63" t="n"/>
    </row>
    <row r="823">
      <c r="K823" s="651" t="n">
        <v>0.009386574074074073</v>
      </c>
      <c r="L823" s="63" t="n"/>
      <c r="M823" s="63" t="n"/>
    </row>
    <row r="824">
      <c r="K824" s="651" t="n">
        <v>0.009398148148148149</v>
      </c>
      <c r="L824" s="63" t="n"/>
      <c r="M824" s="63" t="n"/>
    </row>
    <row r="825">
      <c r="K825" s="651" t="n">
        <v>0.009409722222222222</v>
      </c>
      <c r="L825" s="63" t="n"/>
      <c r="M825" s="63" t="n"/>
    </row>
    <row r="826">
      <c r="K826" s="651" t="n">
        <v>0.009421296296296296</v>
      </c>
      <c r="L826" s="63" t="n"/>
      <c r="M826" s="63" t="n"/>
    </row>
    <row r="827">
      <c r="K827" s="651" t="n">
        <v>0.009432870370370371</v>
      </c>
      <c r="L827" s="63" t="n"/>
      <c r="M827" s="63" t="n"/>
    </row>
    <row r="828">
      <c r="K828" s="651" t="n">
        <v>0.009444444444444445</v>
      </c>
      <c r="L828" s="63" t="n"/>
      <c r="M828" s="63" t="n"/>
    </row>
    <row r="829">
      <c r="K829" s="651" t="n">
        <v>0.009456018518518518</v>
      </c>
      <c r="L829" s="63" t="n"/>
      <c r="M829" s="63" t="n"/>
    </row>
    <row r="830">
      <c r="K830" s="651" t="n">
        <v>0.009467592592592593</v>
      </c>
      <c r="L830" s="63" t="n"/>
      <c r="M830" s="63" t="n"/>
    </row>
    <row r="831">
      <c r="K831" s="651" t="n">
        <v>0.009479166666666667</v>
      </c>
      <c r="L831" s="63" t="n"/>
      <c r="M831" s="63" t="n"/>
    </row>
    <row r="832">
      <c r="K832" s="651" t="n">
        <v>0.009490740740740741</v>
      </c>
      <c r="L832" s="63" t="n"/>
      <c r="M832" s="63" t="n"/>
    </row>
    <row r="833">
      <c r="K833" s="651" t="n">
        <v>0.009502314814814814</v>
      </c>
      <c r="L833" s="63" t="n"/>
      <c r="M833" s="63" t="n"/>
    </row>
    <row r="834">
      <c r="K834" s="651" t="n">
        <v>0.009513888888888889</v>
      </c>
      <c r="L834" s="63" t="n"/>
      <c r="M834" s="63" t="n"/>
    </row>
    <row r="835">
      <c r="K835" s="651" t="n">
        <v>0.009525462962962963</v>
      </c>
      <c r="L835" s="63" t="n"/>
      <c r="M835" s="63" t="n"/>
    </row>
    <row r="836">
      <c r="K836" s="651" t="n">
        <v>0.009537037037037037</v>
      </c>
      <c r="L836" s="63" t="n"/>
      <c r="M836" s="63" t="n"/>
    </row>
    <row r="837">
      <c r="K837" s="651" t="n">
        <v>0.009548611111111112</v>
      </c>
      <c r="L837" s="63" t="n"/>
      <c r="M837" s="63" t="n"/>
    </row>
    <row r="838">
      <c r="K838" s="651" t="n">
        <v>0.009560185185185185</v>
      </c>
      <c r="L838" s="63" t="n"/>
      <c r="M838" s="63" t="n"/>
    </row>
    <row r="839">
      <c r="K839" s="651" t="n">
        <v>0.009571759259259259</v>
      </c>
      <c r="L839" s="63" t="n"/>
      <c r="M839" s="63" t="n"/>
    </row>
    <row r="840">
      <c r="K840" s="651" t="n">
        <v>0.009583333333333333</v>
      </c>
      <c r="L840" s="63" t="n"/>
      <c r="M840" s="63" t="n"/>
    </row>
    <row r="841">
      <c r="K841" s="651" t="n">
        <v>0.009594907407407408</v>
      </c>
      <c r="L841" s="63" t="n"/>
      <c r="M841" s="63" t="n"/>
    </row>
    <row r="842">
      <c r="K842" s="651" t="n">
        <v>0.009606481481481481</v>
      </c>
      <c r="L842" s="63" t="n"/>
      <c r="M842" s="63" t="n"/>
    </row>
    <row r="843">
      <c r="K843" s="651" t="n">
        <v>0.009618055555555555</v>
      </c>
      <c r="L843" s="63" t="n"/>
      <c r="M843" s="63" t="n"/>
    </row>
    <row r="844">
      <c r="K844" s="651" t="n">
        <v>0.00962962962962963</v>
      </c>
      <c r="L844" s="63" t="n"/>
      <c r="M844" s="63" t="n"/>
    </row>
    <row r="845">
      <c r="K845" s="651" t="n">
        <v>0.009641203703703704</v>
      </c>
      <c r="L845" s="63" t="n"/>
      <c r="M845" s="63" t="n"/>
    </row>
    <row r="846">
      <c r="K846" s="651" t="n">
        <v>0.009652777777777777</v>
      </c>
      <c r="L846" s="63" t="n"/>
      <c r="M846" s="63" t="n"/>
    </row>
    <row r="847">
      <c r="K847" s="651" t="n">
        <v>0.009664351851851851</v>
      </c>
      <c r="L847" s="63" t="n"/>
      <c r="M847" s="63" t="n"/>
    </row>
    <row r="848">
      <c r="K848" s="651" t="n">
        <v>0.009675925925925926</v>
      </c>
      <c r="L848" s="63" t="n"/>
      <c r="M848" s="63" t="n"/>
    </row>
    <row r="849">
      <c r="K849" s="651" t="n">
        <v>0.0096875</v>
      </c>
      <c r="L849" s="63" t="n"/>
      <c r="M849" s="63" t="n"/>
    </row>
    <row r="850">
      <c r="K850" s="651" t="n">
        <v>0.009699074074074074</v>
      </c>
      <c r="L850" s="63" t="n"/>
      <c r="M850" s="63" t="n"/>
    </row>
    <row r="851">
      <c r="K851" s="651" t="n">
        <v>0.009710648148148149</v>
      </c>
      <c r="L851" s="63" t="n"/>
      <c r="M851" s="63" t="n"/>
    </row>
    <row r="852">
      <c r="K852" s="651" t="n">
        <v>0.009722222222222222</v>
      </c>
      <c r="L852" s="63" t="n"/>
      <c r="M852" s="63" t="n"/>
    </row>
    <row r="853">
      <c r="K853" s="651" t="n">
        <v>0.009733796296296296</v>
      </c>
      <c r="L853" s="63" t="n"/>
      <c r="M853" s="63" t="n"/>
    </row>
    <row r="854">
      <c r="K854" s="651" t="n">
        <v>0.00974537037037037</v>
      </c>
      <c r="L854" s="63" t="n"/>
      <c r="M854" s="63" t="n"/>
    </row>
    <row r="855">
      <c r="K855" s="651" t="n">
        <v>0.009756944444444445</v>
      </c>
      <c r="L855" s="63" t="n"/>
      <c r="M855" s="63" t="n"/>
    </row>
    <row r="856">
      <c r="K856" s="651" t="n">
        <v>0.009768518518518518</v>
      </c>
      <c r="L856" s="63" t="n"/>
      <c r="M856" s="63" t="n"/>
    </row>
    <row r="857">
      <c r="K857" s="651" t="n">
        <v>0.009780092592592592</v>
      </c>
      <c r="L857" s="63" t="n"/>
      <c r="M857" s="63" t="n"/>
    </row>
    <row r="858">
      <c r="K858" s="651" t="n">
        <v>0.009791666666666667</v>
      </c>
      <c r="L858" s="63" t="n"/>
      <c r="M858" s="63" t="n"/>
    </row>
    <row r="859">
      <c r="K859" s="651" t="n">
        <v>0.009803240740740741</v>
      </c>
      <c r="L859" s="63" t="n"/>
      <c r="M859" s="63" t="n"/>
    </row>
    <row r="860">
      <c r="K860" s="651" t="n">
        <v>0.009814814814814814</v>
      </c>
      <c r="L860" s="63" t="n"/>
      <c r="M860" s="63" t="n"/>
    </row>
    <row r="861">
      <c r="K861" s="651" t="n">
        <v>0.00982638888888889</v>
      </c>
      <c r="L861" s="63" t="n"/>
      <c r="M861" s="63" t="n"/>
    </row>
    <row r="862">
      <c r="K862" s="651" t="n">
        <v>0.009837962962962963</v>
      </c>
      <c r="L862" s="63" t="n"/>
      <c r="M862" s="63" t="n"/>
    </row>
    <row r="863">
      <c r="K863" s="651" t="n">
        <v>0.009849537037037037</v>
      </c>
      <c r="L863" s="63" t="n"/>
      <c r="M863" s="63" t="n"/>
    </row>
    <row r="864">
      <c r="K864" s="651" t="n">
        <v>0.00986111111111111</v>
      </c>
      <c r="L864" s="63" t="n"/>
      <c r="M864" s="63" t="n"/>
    </row>
    <row r="865">
      <c r="K865" s="651" t="n">
        <v>0.009872685185185186</v>
      </c>
      <c r="L865" s="63" t="n"/>
      <c r="M865" s="63" t="n"/>
    </row>
    <row r="866">
      <c r="K866" s="651" t="n">
        <v>0.009884259259259259</v>
      </c>
      <c r="L866" s="63" t="n"/>
      <c r="M866" s="63" t="n"/>
    </row>
    <row r="867">
      <c r="K867" s="651" t="n">
        <v>0.009895833333333333</v>
      </c>
      <c r="L867" s="63" t="n"/>
      <c r="M867" s="63" t="n"/>
    </row>
    <row r="868">
      <c r="K868" s="651" t="n">
        <v>0.009907407407407408</v>
      </c>
      <c r="L868" s="63" t="n"/>
      <c r="M868" s="63" t="n"/>
    </row>
    <row r="869">
      <c r="K869" s="651" t="n">
        <v>0.009918981481481482</v>
      </c>
      <c r="L869" s="63" t="n"/>
      <c r="M869" s="63" t="n"/>
    </row>
    <row r="870">
      <c r="K870" s="651" t="n">
        <v>0.009930555555555555</v>
      </c>
      <c r="L870" s="63" t="n"/>
      <c r="M870" s="63" t="n"/>
    </row>
    <row r="871">
      <c r="K871" s="651" t="n">
        <v>0.009942129629629629</v>
      </c>
      <c r="L871" s="63" t="n"/>
      <c r="M871" s="63" t="n"/>
    </row>
    <row r="872">
      <c r="K872" s="651" t="n">
        <v>0.009953703703703704</v>
      </c>
      <c r="L872" s="63" t="n"/>
      <c r="M872" s="63" t="n"/>
    </row>
    <row r="873">
      <c r="K873" s="651" t="n">
        <v>0.009965277777777778</v>
      </c>
      <c r="L873" s="63" t="n"/>
      <c r="M873" s="63" t="n"/>
    </row>
    <row r="874">
      <c r="K874" s="651" t="n">
        <v>0.009976851851851851</v>
      </c>
      <c r="L874" s="63" t="n"/>
      <c r="M874" s="63" t="n"/>
    </row>
    <row r="875">
      <c r="K875" s="651" t="n">
        <v>0.009988425925925927</v>
      </c>
      <c r="L875" s="63" t="n"/>
      <c r="M875" s="63" t="n"/>
    </row>
    <row r="876">
      <c r="K876" s="651" t="n">
        <v>0.01</v>
      </c>
      <c r="L876" s="63" t="n"/>
      <c r="M876" s="63" t="n"/>
    </row>
    <row r="877">
      <c r="K877" s="651" t="n">
        <v>0.01001157407407407</v>
      </c>
      <c r="L877" s="63" t="n"/>
      <c r="M877" s="63" t="n"/>
    </row>
    <row r="878">
      <c r="K878" s="651" t="n">
        <v>0.01002314814814815</v>
      </c>
      <c r="L878" s="63" t="n"/>
      <c r="M878" s="63" t="n"/>
    </row>
    <row r="879">
      <c r="K879" s="651" t="n">
        <v>0.01003472222222222</v>
      </c>
      <c r="L879" s="63" t="n"/>
      <c r="M879" s="63" t="n"/>
    </row>
    <row r="880">
      <c r="K880" s="651" t="n">
        <v>0.0100462962962963</v>
      </c>
      <c r="L880" s="63" t="n"/>
      <c r="M880" s="63" t="n"/>
    </row>
    <row r="881">
      <c r="K881" s="651" t="n">
        <v>0.01005787037037037</v>
      </c>
      <c r="L881" s="63" t="n"/>
      <c r="M881" s="63" t="n"/>
    </row>
    <row r="882">
      <c r="K882" s="651" t="n">
        <v>0.01006944444444445</v>
      </c>
      <c r="L882" s="63" t="n"/>
      <c r="M882" s="63" t="n"/>
    </row>
    <row r="883">
      <c r="K883" s="651" t="n">
        <v>0.01008101851851852</v>
      </c>
      <c r="L883" s="63" t="n"/>
      <c r="M883" s="63" t="n"/>
    </row>
    <row r="884">
      <c r="K884" s="651" t="n">
        <v>0.01009259259259259</v>
      </c>
      <c r="L884" s="63" t="n"/>
      <c r="M884" s="63" t="n"/>
    </row>
    <row r="885">
      <c r="K885" s="651" t="n">
        <v>0.01010416666666667</v>
      </c>
      <c r="L885" s="63" t="n"/>
      <c r="M885" s="63" t="n"/>
    </row>
    <row r="886">
      <c r="K886" s="651" t="n">
        <v>0.01011574074074074</v>
      </c>
      <c r="L886" s="63" t="n"/>
      <c r="M886" s="63" t="n"/>
    </row>
    <row r="887">
      <c r="K887" s="651" t="n">
        <v>0.01012731481481481</v>
      </c>
      <c r="L887" s="63" t="n"/>
      <c r="M887" s="63" t="n"/>
    </row>
    <row r="888">
      <c r="K888" s="651" t="n">
        <v>0.01013888888888889</v>
      </c>
      <c r="L888" s="63" t="n"/>
      <c r="M888" s="63" t="n"/>
    </row>
    <row r="889">
      <c r="K889" s="651" t="n">
        <v>0.01015046296296296</v>
      </c>
      <c r="L889" s="63" t="n"/>
      <c r="M889" s="63" t="n"/>
    </row>
    <row r="890">
      <c r="K890" s="651" t="n">
        <v>0.01016203703703704</v>
      </c>
      <c r="L890" s="63" t="n"/>
      <c r="M890" s="63" t="n"/>
    </row>
    <row r="891">
      <c r="K891" s="651" t="n">
        <v>0.01017361111111111</v>
      </c>
      <c r="L891" s="63" t="n"/>
      <c r="M891" s="63" t="n"/>
    </row>
    <row r="892">
      <c r="K892" s="651" t="n">
        <v>0.01018518518518519</v>
      </c>
      <c r="L892" s="63" t="n"/>
      <c r="M892" s="63" t="n"/>
    </row>
    <row r="893">
      <c r="K893" s="651" t="n">
        <v>0.01019675925925926</v>
      </c>
      <c r="L893" s="63" t="n"/>
      <c r="M893" s="63" t="n"/>
    </row>
    <row r="894">
      <c r="K894" s="651" t="n">
        <v>0.01020833333333333</v>
      </c>
      <c r="L894" s="63" t="n"/>
      <c r="M894" s="63" t="n"/>
    </row>
    <row r="895">
      <c r="K895" s="651" t="n">
        <v>0.01021990740740741</v>
      </c>
      <c r="L895" s="63" t="n"/>
      <c r="M895" s="63" t="n"/>
    </row>
    <row r="896">
      <c r="K896" s="651" t="n">
        <v>0.01023148148148148</v>
      </c>
      <c r="L896" s="63" t="n"/>
      <c r="M896" s="63" t="n"/>
    </row>
    <row r="897">
      <c r="K897" s="651" t="n">
        <v>0.01024305555555556</v>
      </c>
      <c r="L897" s="63" t="n"/>
      <c r="M897" s="63" t="n"/>
    </row>
    <row r="898">
      <c r="K898" s="651" t="n">
        <v>0.01025462962962963</v>
      </c>
      <c r="L898" s="63" t="n"/>
      <c r="M898" s="63" t="n"/>
    </row>
    <row r="899">
      <c r="K899" s="651" t="n">
        <v>0.0102662037037037</v>
      </c>
      <c r="L899" s="63" t="n"/>
      <c r="M899" s="63" t="n"/>
    </row>
    <row r="900">
      <c r="K900" s="651" t="n">
        <v>0.01027777777777778</v>
      </c>
      <c r="L900" s="63" t="n"/>
      <c r="M900" s="63" t="n"/>
    </row>
    <row r="901">
      <c r="K901" s="651" t="n">
        <v>0.01028935185185185</v>
      </c>
      <c r="L901" s="63" t="n"/>
      <c r="M901" s="63" t="n"/>
    </row>
    <row r="902">
      <c r="K902" s="651" t="n">
        <v>0.01030092592592593</v>
      </c>
      <c r="L902" s="63" t="n"/>
      <c r="M902" s="63" t="n"/>
    </row>
    <row r="903">
      <c r="K903" s="651" t="n">
        <v>0.0103125</v>
      </c>
      <c r="L903" s="63" t="n"/>
      <c r="M903" s="63" t="n"/>
    </row>
    <row r="904">
      <c r="K904" s="651" t="n">
        <v>0.01032407407407407</v>
      </c>
      <c r="L904" s="63" t="n"/>
      <c r="M904" s="63" t="n"/>
    </row>
    <row r="905">
      <c r="K905" s="651" t="n">
        <v>0.01033564814814815</v>
      </c>
      <c r="L905" s="63" t="n"/>
      <c r="M905" s="63" t="n"/>
    </row>
    <row r="906">
      <c r="K906" s="651" t="n">
        <v>0.01034722222222222</v>
      </c>
      <c r="L906" s="63" t="n"/>
      <c r="M906" s="63" t="n"/>
    </row>
    <row r="907">
      <c r="K907" s="651" t="n">
        <v>0.0103587962962963</v>
      </c>
      <c r="L907" s="63" t="n"/>
      <c r="M907" s="63" t="n"/>
    </row>
    <row r="908">
      <c r="K908" s="651" t="n">
        <v>0.01037037037037037</v>
      </c>
      <c r="L908" s="63" t="n"/>
      <c r="M908" s="63" t="n"/>
    </row>
    <row r="909">
      <c r="K909" s="651" t="n">
        <v>0.01038194444444444</v>
      </c>
      <c r="L909" s="63" t="n"/>
      <c r="M909" s="63" t="n"/>
    </row>
    <row r="910">
      <c r="K910" s="651" t="n">
        <v>0.01039351851851852</v>
      </c>
      <c r="L910" s="63" t="n"/>
      <c r="M910" s="63" t="n"/>
    </row>
    <row r="911">
      <c r="K911" s="651" t="n">
        <v>0.01040509259259259</v>
      </c>
      <c r="L911" s="63" t="n"/>
      <c r="M911" s="63" t="n"/>
    </row>
    <row r="912">
      <c r="K912" s="651" t="n">
        <v>0.01041666666666667</v>
      </c>
      <c r="L912" s="63" t="n"/>
      <c r="M912" s="63" t="n"/>
    </row>
    <row r="913">
      <c r="K913" s="651" t="n">
        <v>0.01042824074074074</v>
      </c>
      <c r="L913" s="63" t="n"/>
      <c r="M913" s="63" t="n"/>
    </row>
    <row r="914">
      <c r="K914" s="651" t="n">
        <v>0.01043981481481481</v>
      </c>
      <c r="L914" s="63" t="n"/>
      <c r="M914" s="63" t="n"/>
    </row>
    <row r="915">
      <c r="K915" s="651" t="n">
        <v>0.01045138888888889</v>
      </c>
      <c r="L915" s="63" t="n"/>
      <c r="M915" s="63" t="n"/>
    </row>
    <row r="916">
      <c r="K916" s="651" t="n">
        <v>0.01046296296296296</v>
      </c>
      <c r="L916" s="63" t="n"/>
      <c r="M916" s="63" t="n"/>
    </row>
    <row r="917">
      <c r="K917" s="651" t="n">
        <v>0.01047453703703704</v>
      </c>
      <c r="L917" s="63" t="n"/>
      <c r="M917" s="63" t="n"/>
    </row>
    <row r="918">
      <c r="K918" s="651" t="n">
        <v>0.01048611111111111</v>
      </c>
      <c r="L918" s="63" t="n"/>
      <c r="M918" s="63" t="n"/>
    </row>
    <row r="919">
      <c r="K919" s="651" t="n">
        <v>0.01049768518518518</v>
      </c>
      <c r="L919" s="63" t="n"/>
      <c r="M919" s="63" t="n"/>
    </row>
    <row r="920">
      <c r="K920" s="651" t="n">
        <v>0.01050925925925926</v>
      </c>
      <c r="L920" s="63" t="n"/>
      <c r="M920" s="63" t="n"/>
    </row>
    <row r="921">
      <c r="K921" s="651" t="n">
        <v>0.01052083333333333</v>
      </c>
      <c r="L921" s="63" t="n"/>
      <c r="M921" s="63" t="n"/>
    </row>
    <row r="922">
      <c r="K922" s="651" t="n">
        <v>0.01053240740740741</v>
      </c>
      <c r="L922" s="63" t="n"/>
      <c r="M922" s="63" t="n"/>
    </row>
    <row r="923">
      <c r="K923" s="651" t="n">
        <v>0.01054398148148148</v>
      </c>
      <c r="L923" s="63" t="n"/>
      <c r="M923" s="63" t="n"/>
    </row>
    <row r="924">
      <c r="K924" s="651" t="n">
        <v>0.01055555555555556</v>
      </c>
      <c r="L924" s="63" t="n"/>
      <c r="M924" s="63" t="n"/>
    </row>
    <row r="925">
      <c r="K925" s="651" t="n">
        <v>0.01056712962962963</v>
      </c>
      <c r="L925" s="63" t="n"/>
      <c r="M925" s="63" t="n"/>
    </row>
    <row r="926">
      <c r="K926" s="651" t="n">
        <v>0.0105787037037037</v>
      </c>
      <c r="L926" s="63" t="n"/>
      <c r="M926" s="63" t="n"/>
    </row>
    <row r="927">
      <c r="K927" s="651" t="n">
        <v>0.01059027777777778</v>
      </c>
      <c r="L927" s="63" t="n"/>
      <c r="M927" s="63" t="n"/>
    </row>
    <row r="928">
      <c r="K928" s="651" t="n">
        <v>0.01060185185185185</v>
      </c>
      <c r="L928" s="63" t="n"/>
      <c r="M928" s="63" t="n"/>
    </row>
    <row r="929">
      <c r="K929" s="651" t="n">
        <v>0.01061342592592593</v>
      </c>
      <c r="L929" s="63" t="n"/>
      <c r="M929" s="63" t="n"/>
    </row>
    <row r="930">
      <c r="K930" s="651" t="n">
        <v>0.010625</v>
      </c>
      <c r="L930" s="63" t="n"/>
      <c r="M930" s="63" t="n"/>
    </row>
    <row r="931">
      <c r="K931" s="651" t="n">
        <v>0.01063657407407407</v>
      </c>
      <c r="L931" s="63" t="n"/>
      <c r="M931" s="63" t="n"/>
    </row>
    <row r="932">
      <c r="K932" s="651" t="n">
        <v>0.01064814814814815</v>
      </c>
      <c r="L932" s="63" t="n"/>
      <c r="M932" s="63" t="n"/>
    </row>
    <row r="933">
      <c r="K933" s="651" t="n">
        <v>0.01065972222222222</v>
      </c>
      <c r="L933" s="63" t="n"/>
      <c r="M933" s="63" t="n"/>
    </row>
    <row r="934">
      <c r="K934" s="651" t="n">
        <v>0.0106712962962963</v>
      </c>
      <c r="L934" s="63" t="n"/>
      <c r="M934" s="63" t="n"/>
    </row>
    <row r="935">
      <c r="K935" s="651" t="n">
        <v>0.01068287037037037</v>
      </c>
      <c r="L935" s="63" t="n"/>
      <c r="M935" s="63" t="n"/>
    </row>
    <row r="936">
      <c r="K936" s="651" t="n">
        <v>0.01069444444444444</v>
      </c>
      <c r="L936" s="63" t="n"/>
      <c r="M936" s="63" t="n"/>
    </row>
    <row r="937">
      <c r="K937" s="651" t="n">
        <v>0.01070601851851852</v>
      </c>
      <c r="L937" s="63" t="n"/>
      <c r="M937" s="63" t="n"/>
    </row>
    <row r="938">
      <c r="K938" s="651" t="n">
        <v>0.01071759259259259</v>
      </c>
      <c r="L938" s="63" t="n"/>
      <c r="M938" s="63" t="n"/>
    </row>
    <row r="939">
      <c r="K939" s="651" t="n">
        <v>0.01072916666666667</v>
      </c>
      <c r="L939" s="63" t="n"/>
      <c r="M939" s="63" t="n"/>
    </row>
    <row r="940">
      <c r="K940" s="651" t="n">
        <v>0.01074074074074074</v>
      </c>
      <c r="L940" s="63" t="n"/>
      <c r="M940" s="63" t="n"/>
    </row>
    <row r="941">
      <c r="K941" s="651" t="n">
        <v>0.01075231481481482</v>
      </c>
      <c r="L941" s="63" t="n"/>
      <c r="M941" s="63" t="n"/>
    </row>
    <row r="942">
      <c r="K942" s="651" t="n">
        <v>0.01076388888888889</v>
      </c>
      <c r="L942" s="63" t="n"/>
      <c r="M942" s="63" t="n"/>
    </row>
    <row r="943">
      <c r="K943" s="651" t="n">
        <v>0.01077546296296296</v>
      </c>
      <c r="L943" s="63" t="n"/>
      <c r="M943" s="63" t="n"/>
    </row>
    <row r="944">
      <c r="K944" s="651" t="n">
        <v>0.01078703703703704</v>
      </c>
      <c r="L944" s="63" t="n"/>
      <c r="M944" s="63" t="n"/>
    </row>
    <row r="945">
      <c r="K945" s="651" t="n">
        <v>0.01079861111111111</v>
      </c>
      <c r="L945" s="63" t="n"/>
      <c r="M945" s="63" t="n"/>
    </row>
    <row r="946">
      <c r="K946" s="651" t="n">
        <v>0.01081018518518518</v>
      </c>
      <c r="L946" s="63" t="n"/>
      <c r="M946" s="63" t="n"/>
    </row>
    <row r="947">
      <c r="K947" s="651" t="n">
        <v>0.01082175925925926</v>
      </c>
      <c r="L947" s="63" t="n"/>
      <c r="M947" s="63" t="n"/>
    </row>
    <row r="948">
      <c r="K948" s="651" t="n">
        <v>0.01083333333333333</v>
      </c>
      <c r="L948" s="63" t="n"/>
      <c r="M948" s="63" t="n"/>
    </row>
    <row r="949">
      <c r="K949" s="651" t="n">
        <v>0.01084490740740741</v>
      </c>
      <c r="L949" s="63" t="n"/>
      <c r="M949" s="63" t="n"/>
    </row>
    <row r="950">
      <c r="K950" s="651" t="n">
        <v>0.01085648148148148</v>
      </c>
      <c r="L950" s="63" t="n"/>
      <c r="M950" s="63" t="n"/>
    </row>
    <row r="951">
      <c r="K951" s="651" t="n">
        <v>0.01086805555555556</v>
      </c>
      <c r="L951" s="63" t="n"/>
      <c r="M951" s="63" t="n"/>
    </row>
    <row r="952">
      <c r="K952" s="651" t="n">
        <v>0.01087962962962963</v>
      </c>
      <c r="L952" s="63" t="n"/>
      <c r="M952" s="63" t="n"/>
    </row>
    <row r="953">
      <c r="K953" s="651" t="n">
        <v>0.0108912037037037</v>
      </c>
      <c r="L953" s="63" t="n"/>
      <c r="M953" s="63" t="n"/>
    </row>
    <row r="954">
      <c r="K954" s="651" t="n">
        <v>0.01090277777777778</v>
      </c>
      <c r="L954" s="63" t="n"/>
      <c r="M954" s="63" t="n"/>
    </row>
    <row r="955">
      <c r="K955" s="651" t="n">
        <v>0.01091435185185185</v>
      </c>
      <c r="L955" s="63" t="n"/>
      <c r="M955" s="63" t="n"/>
    </row>
    <row r="956">
      <c r="K956" s="651" t="n">
        <v>0.01092592592592593</v>
      </c>
      <c r="L956" s="63" t="n"/>
      <c r="M956" s="63" t="n"/>
    </row>
    <row r="957">
      <c r="K957" s="651" t="n">
        <v>0.0109375</v>
      </c>
      <c r="L957" s="63" t="n"/>
      <c r="M957" s="63" t="n"/>
    </row>
    <row r="958">
      <c r="K958" s="651" t="n">
        <v>0.01094907407407407</v>
      </c>
      <c r="L958" s="63" t="n"/>
      <c r="M958" s="63" t="n"/>
    </row>
    <row r="959">
      <c r="K959" s="651" t="n">
        <v>0.01096064814814815</v>
      </c>
      <c r="L959" s="63" t="n"/>
      <c r="M959" s="63" t="n"/>
    </row>
    <row r="960">
      <c r="K960" s="651" t="n">
        <v>0.01097222222222222</v>
      </c>
      <c r="L960" s="63" t="n"/>
      <c r="M960" s="63" t="n"/>
    </row>
    <row r="961">
      <c r="K961" s="651" t="n">
        <v>0.0109837962962963</v>
      </c>
      <c r="L961" s="63" t="n"/>
      <c r="M961" s="63" t="n"/>
    </row>
    <row r="962">
      <c r="K962" s="651" t="n">
        <v>0.01099537037037037</v>
      </c>
      <c r="L962" s="63" t="n"/>
      <c r="M962" s="63" t="n"/>
    </row>
    <row r="963">
      <c r="K963" s="651" t="n">
        <v>0.01100694444444444</v>
      </c>
      <c r="L963" s="63" t="n"/>
      <c r="M963" s="63" t="n"/>
    </row>
    <row r="964">
      <c r="K964" s="651" t="n">
        <v>0.01101851851851852</v>
      </c>
      <c r="L964" s="63" t="n"/>
      <c r="M964" s="63" t="n"/>
    </row>
    <row r="965">
      <c r="K965" s="651" t="n">
        <v>0.01103009259259259</v>
      </c>
      <c r="L965" s="63" t="n"/>
      <c r="M965" s="63" t="n"/>
    </row>
    <row r="966">
      <c r="K966" s="651" t="n">
        <v>0.01104166666666667</v>
      </c>
      <c r="L966" s="63" t="n"/>
      <c r="M966" s="63" t="n"/>
    </row>
    <row r="967">
      <c r="K967" s="651" t="n">
        <v>0.01105324074074074</v>
      </c>
      <c r="L967" s="63" t="n"/>
      <c r="M967" s="63" t="n"/>
    </row>
    <row r="968">
      <c r="K968" s="651" t="n">
        <v>0.01106481481481482</v>
      </c>
      <c r="L968" s="63" t="n"/>
      <c r="M968" s="63" t="n"/>
    </row>
    <row r="969">
      <c r="K969" s="651" t="n">
        <v>0.01107638888888889</v>
      </c>
      <c r="L969" s="63" t="n"/>
      <c r="M969" s="63" t="n"/>
    </row>
    <row r="970">
      <c r="K970" s="651" t="n">
        <v>0.01108796296296296</v>
      </c>
      <c r="L970" s="63" t="n"/>
      <c r="M970" s="63" t="n"/>
    </row>
    <row r="971">
      <c r="K971" s="651" t="n">
        <v>0.01109953703703704</v>
      </c>
      <c r="L971" s="63" t="n"/>
      <c r="M971" s="63" t="n"/>
    </row>
    <row r="972">
      <c r="K972" s="651" t="n">
        <v>0.01111111111111111</v>
      </c>
      <c r="L972" s="63" t="n"/>
      <c r="M972" s="63" t="n"/>
    </row>
    <row r="973">
      <c r="K973" s="651" t="n">
        <v>0.01112268518518519</v>
      </c>
      <c r="L973" s="63" t="n"/>
      <c r="M973" s="63" t="n"/>
    </row>
    <row r="974">
      <c r="K974" s="651" t="n">
        <v>0.01113425925925926</v>
      </c>
      <c r="L974" s="63" t="n"/>
      <c r="M974" s="63" t="n"/>
    </row>
    <row r="975">
      <c r="K975" s="651" t="n">
        <v>0.01114583333333333</v>
      </c>
      <c r="L975" s="63" t="n"/>
      <c r="M975" s="63" t="n"/>
    </row>
    <row r="976">
      <c r="K976" s="651" t="n">
        <v>0.01115740740740741</v>
      </c>
      <c r="L976" s="63" t="n"/>
      <c r="M976" s="63" t="n"/>
    </row>
    <row r="977">
      <c r="K977" s="651" t="n">
        <v>0.01116898148148148</v>
      </c>
      <c r="L977" s="63" t="n"/>
      <c r="M977" s="63" t="n"/>
    </row>
    <row r="978">
      <c r="K978" s="651" t="n">
        <v>0.01118055555555555</v>
      </c>
      <c r="L978" s="63" t="n"/>
      <c r="M978" s="63" t="n"/>
    </row>
    <row r="979">
      <c r="K979" s="651" t="n">
        <v>0.01119212962962963</v>
      </c>
      <c r="L979" s="63" t="n"/>
      <c r="M979" s="63" t="n"/>
    </row>
    <row r="980">
      <c r="K980" s="651" t="n">
        <v>0.0112037037037037</v>
      </c>
      <c r="L980" s="63" t="n"/>
      <c r="M980" s="63" t="n"/>
    </row>
    <row r="981">
      <c r="K981" s="651" t="n">
        <v>0.01121527777777778</v>
      </c>
      <c r="L981" s="63" t="n"/>
      <c r="M981" s="63" t="n"/>
    </row>
    <row r="982">
      <c r="K982" s="651" t="n">
        <v>0.01122685185185185</v>
      </c>
      <c r="L982" s="63" t="n"/>
      <c r="M982" s="63" t="n"/>
    </row>
    <row r="983">
      <c r="K983" s="651" t="n">
        <v>0.01123842592592593</v>
      </c>
      <c r="L983" s="63" t="n"/>
      <c r="M983" s="63" t="n"/>
    </row>
    <row r="984">
      <c r="K984" s="651" t="n">
        <v>0.01125</v>
      </c>
      <c r="L984" s="63" t="n"/>
      <c r="M984" s="63" t="n"/>
    </row>
    <row r="985">
      <c r="K985" s="651" t="n">
        <v>0.01126157407407407</v>
      </c>
      <c r="L985" s="63" t="n"/>
      <c r="M985" s="63" t="n"/>
    </row>
    <row r="986">
      <c r="K986" s="651" t="n">
        <v>0.01127314814814815</v>
      </c>
      <c r="L986" s="63" t="n"/>
      <c r="M986" s="63" t="n"/>
    </row>
    <row r="987">
      <c r="K987" s="651" t="n">
        <v>0.01128472222222222</v>
      </c>
      <c r="L987" s="63" t="n"/>
      <c r="M987" s="63" t="n"/>
    </row>
    <row r="988">
      <c r="K988" s="651" t="n">
        <v>0.0112962962962963</v>
      </c>
      <c r="L988" s="63" t="n"/>
      <c r="M988" s="63" t="n"/>
    </row>
    <row r="989">
      <c r="K989" s="651" t="n">
        <v>0.01130787037037037</v>
      </c>
      <c r="L989" s="63" t="n"/>
      <c r="M989" s="63" t="n"/>
    </row>
    <row r="990">
      <c r="K990" s="651" t="n">
        <v>0.01131944444444444</v>
      </c>
      <c r="L990" s="63" t="n"/>
      <c r="M990" s="63" t="n"/>
    </row>
    <row r="991">
      <c r="K991" s="651" t="n">
        <v>0.01133101851851852</v>
      </c>
      <c r="L991" s="63" t="n"/>
      <c r="M991" s="63" t="n"/>
    </row>
    <row r="992">
      <c r="K992" s="651" t="n">
        <v>0.01134259259259259</v>
      </c>
      <c r="L992" s="63" t="n"/>
      <c r="M992" s="63" t="n"/>
    </row>
    <row r="993">
      <c r="K993" s="651" t="n">
        <v>0.01135416666666667</v>
      </c>
      <c r="L993" s="63" t="n"/>
      <c r="M993" s="63" t="n"/>
    </row>
    <row r="994">
      <c r="K994" s="651" t="n">
        <v>0.01136574074074074</v>
      </c>
      <c r="L994" s="63" t="n"/>
      <c r="M994" s="63" t="n"/>
    </row>
    <row r="995">
      <c r="K995" s="651" t="n">
        <v>0.01137731481481481</v>
      </c>
      <c r="L995" s="63" t="n"/>
      <c r="M995" s="63" t="n"/>
    </row>
    <row r="996">
      <c r="K996" s="651" t="n">
        <v>0.01138888888888889</v>
      </c>
      <c r="L996" s="63" t="n"/>
      <c r="M996" s="63" t="n"/>
    </row>
    <row r="997">
      <c r="K997" s="651" t="n">
        <v>0.01140046296296296</v>
      </c>
      <c r="L997" s="63" t="n"/>
      <c r="M997" s="63" t="n"/>
    </row>
    <row r="998">
      <c r="K998" s="651" t="n">
        <v>0.01141203703703704</v>
      </c>
      <c r="L998" s="63" t="n"/>
      <c r="M998" s="63" t="n"/>
    </row>
    <row r="999">
      <c r="K999" s="651" t="n">
        <v>0.01142361111111111</v>
      </c>
      <c r="L999" s="63" t="n"/>
      <c r="M999" s="63" t="n"/>
    </row>
    <row r="1000">
      <c r="K1000" s="651" t="n">
        <v>0.01143518518518519</v>
      </c>
      <c r="L1000" s="63" t="n"/>
      <c r="M1000" s="63" t="n"/>
    </row>
    <row r="1001">
      <c r="K1001" s="651" t="n">
        <v>0.01144675925925926</v>
      </c>
      <c r="L1001" s="63" t="n"/>
      <c r="M1001" s="63" t="n"/>
    </row>
    <row r="1002">
      <c r="K1002" s="651" t="n">
        <v>0.01145833333333333</v>
      </c>
      <c r="L1002" s="63" t="n"/>
      <c r="M1002" s="63" t="n"/>
    </row>
    <row r="1003">
      <c r="K1003" s="651" t="n">
        <v>0.01146990740740741</v>
      </c>
      <c r="L1003" s="63" t="n"/>
      <c r="M1003" s="63" t="n"/>
    </row>
    <row r="1004">
      <c r="K1004" s="651" t="n">
        <v>0.01148148148148148</v>
      </c>
      <c r="L1004" s="63" t="n"/>
      <c r="M1004" s="63" t="n"/>
    </row>
    <row r="1005">
      <c r="K1005" s="651" t="n">
        <v>0.01149305555555555</v>
      </c>
      <c r="L1005" s="63" t="n"/>
      <c r="M1005" s="63" t="n"/>
    </row>
    <row r="1006">
      <c r="K1006" s="651" t="n">
        <v>0.01150462962962963</v>
      </c>
      <c r="L1006" s="63" t="n"/>
      <c r="M1006" s="63" t="n"/>
    </row>
    <row r="1007">
      <c r="K1007" s="651" t="n">
        <v>0.0115162037037037</v>
      </c>
      <c r="L1007" s="243" t="n"/>
      <c r="M1007" s="243" t="n"/>
    </row>
    <row r="1008">
      <c r="K1008" s="651" t="n">
        <v>0.01152777777777778</v>
      </c>
      <c r="L1008" s="243" t="n"/>
      <c r="M1008" s="243" t="n"/>
    </row>
    <row r="1009">
      <c r="K1009" s="651" t="n">
        <v>0.01153935185185185</v>
      </c>
      <c r="L1009" s="243" t="n"/>
      <c r="M1009" s="243" t="n"/>
    </row>
    <row r="1010">
      <c r="K1010" s="651" t="n">
        <v>0.01155092592592593</v>
      </c>
      <c r="L1010" s="243" t="n"/>
      <c r="M1010" s="243" t="n"/>
    </row>
    <row r="1011">
      <c r="K1011" s="651" t="n">
        <v>0.0115625</v>
      </c>
      <c r="L1011" s="243" t="n"/>
      <c r="M1011" s="243" t="n"/>
    </row>
    <row r="1012">
      <c r="K1012" s="651" t="n">
        <v>0.01157407407407407</v>
      </c>
      <c r="L1012" s="243" t="n"/>
      <c r="M1012" s="243" t="n"/>
    </row>
    <row r="1013">
      <c r="K1013" s="651" t="n">
        <v>0.01158564814814815</v>
      </c>
      <c r="L1013" s="243" t="n"/>
      <c r="M1013" s="243" t="n"/>
    </row>
    <row r="1014">
      <c r="K1014" s="651" t="n">
        <v>0.01159722222222222</v>
      </c>
      <c r="L1014" s="243" t="n"/>
      <c r="M1014" s="243" t="n"/>
    </row>
    <row r="1015">
      <c r="K1015" s="651" t="n">
        <v>0.0116087962962963</v>
      </c>
      <c r="L1015" s="243" t="n"/>
      <c r="M1015" s="243" t="n"/>
    </row>
    <row r="1016">
      <c r="K1016" s="651" t="n">
        <v>0.01162037037037037</v>
      </c>
      <c r="L1016" s="243" t="n"/>
      <c r="M1016" s="243" t="n"/>
    </row>
    <row r="1017">
      <c r="K1017" s="651" t="n">
        <v>0.01163194444444444</v>
      </c>
      <c r="L1017" s="243" t="n"/>
      <c r="M1017" s="243" t="n"/>
    </row>
    <row r="1018">
      <c r="K1018" s="651" t="n">
        <v>0.01164351851851852</v>
      </c>
      <c r="L1018" s="243" t="n"/>
      <c r="M1018" s="243" t="n"/>
    </row>
    <row r="1019">
      <c r="K1019" s="651" t="n">
        <v>0.01165509259259259</v>
      </c>
      <c r="L1019" s="243" t="n"/>
      <c r="M1019" s="243" t="n"/>
    </row>
    <row r="1020">
      <c r="K1020" s="651" t="n">
        <v>0.01166666666666667</v>
      </c>
      <c r="L1020" s="243" t="n"/>
      <c r="M1020" s="243" t="n"/>
    </row>
    <row r="1021">
      <c r="K1021" s="651" t="n">
        <v>0.01167824074074074</v>
      </c>
      <c r="L1021" s="243" t="n"/>
      <c r="M1021" s="243" t="n"/>
    </row>
    <row r="1022">
      <c r="K1022" s="651" t="n">
        <v>0.01168981481481481</v>
      </c>
      <c r="L1022" s="243" t="n"/>
      <c r="M1022" s="243" t="n"/>
    </row>
    <row r="1023">
      <c r="K1023" s="651" t="n">
        <v>0.01170138888888889</v>
      </c>
      <c r="L1023" s="243" t="n"/>
      <c r="M1023" s="243" t="n"/>
    </row>
    <row r="1024">
      <c r="K1024" s="651" t="n">
        <v>0.01171296296296296</v>
      </c>
      <c r="L1024" s="243" t="n"/>
      <c r="M1024" s="243" t="n"/>
    </row>
    <row r="1025">
      <c r="K1025" s="651" t="n">
        <v>0.01172453703703704</v>
      </c>
      <c r="L1025" s="243" t="n"/>
      <c r="M1025" s="243" t="n"/>
    </row>
    <row r="1026">
      <c r="K1026" s="651" t="n">
        <v>0.01173611111111111</v>
      </c>
      <c r="L1026" s="243" t="n"/>
      <c r="M1026" s="243" t="n"/>
    </row>
    <row r="1027">
      <c r="K1027" s="651" t="n">
        <v>0.01174768518518519</v>
      </c>
      <c r="L1027" s="243" t="n"/>
      <c r="M1027" s="243" t="n"/>
    </row>
    <row r="1028">
      <c r="K1028" s="651" t="n">
        <v>0.01175925925925926</v>
      </c>
      <c r="L1028" s="243" t="n"/>
      <c r="M1028" s="243" t="n"/>
    </row>
    <row r="1029">
      <c r="K1029" s="651" t="n">
        <v>0.01177083333333333</v>
      </c>
      <c r="L1029" s="243" t="n"/>
      <c r="M1029" s="243" t="n"/>
    </row>
    <row r="1030">
      <c r="K1030" s="651" t="n">
        <v>0.01178240740740741</v>
      </c>
      <c r="L1030" s="243" t="n"/>
      <c r="M1030" s="243" t="n"/>
    </row>
    <row r="1031">
      <c r="K1031" s="651" t="n">
        <v>0.01179398148148148</v>
      </c>
      <c r="L1031" s="243" t="n"/>
      <c r="M1031" s="243" t="n"/>
    </row>
    <row r="1032">
      <c r="K1032" s="651" t="n">
        <v>0.01180555555555556</v>
      </c>
      <c r="L1032" s="243" t="n"/>
      <c r="M1032" s="243" t="n"/>
    </row>
    <row r="1033">
      <c r="K1033" s="651" t="n">
        <v>0.01181712962962963</v>
      </c>
      <c r="L1033" s="243" t="n"/>
      <c r="M1033" s="243" t="n"/>
    </row>
    <row r="1034">
      <c r="K1034" s="651" t="n">
        <v>0.0118287037037037</v>
      </c>
      <c r="L1034" s="243" t="n"/>
      <c r="M1034" s="243" t="n"/>
    </row>
    <row r="1035">
      <c r="K1035" s="651" t="n">
        <v>0.01184027777777778</v>
      </c>
      <c r="L1035" s="243" t="n"/>
      <c r="M1035" s="243" t="n"/>
    </row>
    <row r="1036">
      <c r="K1036" s="651" t="n">
        <v>0.01185185185185185</v>
      </c>
      <c r="L1036" s="243" t="n"/>
      <c r="M1036" s="243" t="n"/>
    </row>
    <row r="1037">
      <c r="K1037" s="651" t="n">
        <v>0.01186342592592593</v>
      </c>
      <c r="L1037" s="243" t="n"/>
      <c r="M1037" s="243" t="n"/>
    </row>
    <row r="1038">
      <c r="K1038" s="651" t="n">
        <v>0.011875</v>
      </c>
      <c r="L1038" s="243" t="n"/>
      <c r="M1038" s="243" t="n"/>
    </row>
    <row r="1039">
      <c r="K1039" s="651" t="n">
        <v>0.01188657407407407</v>
      </c>
      <c r="L1039" s="243" t="n"/>
      <c r="M1039" s="243" t="n"/>
    </row>
    <row r="1040">
      <c r="K1040" s="651" t="n">
        <v>0.01189814814814815</v>
      </c>
      <c r="L1040" s="243" t="n"/>
      <c r="M1040" s="243" t="n"/>
    </row>
    <row r="1041">
      <c r="K1041" s="651" t="n">
        <v>0.01190972222222222</v>
      </c>
      <c r="L1041" s="243" t="n"/>
      <c r="M1041" s="243" t="n"/>
    </row>
    <row r="1042">
      <c r="K1042" s="651" t="n">
        <v>0.0119212962962963</v>
      </c>
      <c r="L1042" s="243" t="n"/>
      <c r="M1042" s="243" t="n"/>
    </row>
    <row r="1043">
      <c r="K1043" s="651" t="n">
        <v>0.01193287037037037</v>
      </c>
      <c r="L1043" s="243" t="n"/>
      <c r="M1043" s="243" t="n"/>
    </row>
    <row r="1044">
      <c r="K1044" s="651" t="n">
        <v>0.01194444444444445</v>
      </c>
      <c r="L1044" s="243" t="n"/>
      <c r="M1044" s="243" t="n"/>
    </row>
    <row r="1045">
      <c r="K1045" s="651" t="n">
        <v>0.01195601851851852</v>
      </c>
      <c r="L1045" s="243" t="n"/>
      <c r="M1045" s="243" t="n"/>
    </row>
    <row r="1046">
      <c r="K1046" s="651" t="n">
        <v>0.01196759259259259</v>
      </c>
      <c r="L1046" s="243" t="n"/>
      <c r="M1046" s="243" t="n"/>
    </row>
    <row r="1047">
      <c r="K1047" s="651" t="n">
        <v>0.01197916666666667</v>
      </c>
      <c r="L1047" s="243" t="n"/>
      <c r="M1047" s="243" t="n"/>
    </row>
    <row r="1048">
      <c r="K1048" s="651" t="n">
        <v>0.01199074074074074</v>
      </c>
      <c r="L1048" s="243" t="n"/>
      <c r="M1048" s="243" t="n"/>
    </row>
    <row r="1049">
      <c r="K1049" s="651" t="n">
        <v>0.01200231481481481</v>
      </c>
      <c r="L1049" s="243" t="n"/>
      <c r="M1049" s="243" t="n"/>
    </row>
    <row r="1050">
      <c r="K1050" s="651" t="n">
        <v>0.01201388888888889</v>
      </c>
      <c r="L1050" s="243" t="n"/>
      <c r="M1050" s="243" t="n"/>
    </row>
    <row r="1051">
      <c r="K1051" s="651" t="n">
        <v>0.01202546296296296</v>
      </c>
      <c r="L1051" s="243" t="n"/>
      <c r="M1051" s="243" t="n"/>
    </row>
    <row r="1052">
      <c r="K1052" s="651" t="n">
        <v>0.01203703703703704</v>
      </c>
      <c r="L1052" s="243" t="n"/>
      <c r="M1052" s="243" t="n"/>
    </row>
    <row r="1053">
      <c r="K1053" s="651" t="n">
        <v>0.01204861111111111</v>
      </c>
      <c r="L1053" s="243" t="n"/>
      <c r="M1053" s="243" t="n"/>
    </row>
    <row r="1054">
      <c r="K1054" s="651" t="n">
        <v>0.01206018518518519</v>
      </c>
      <c r="L1054" s="243" t="n"/>
      <c r="M1054" s="243" t="n"/>
    </row>
    <row r="1055">
      <c r="K1055" s="651" t="n">
        <v>0.01207175925925926</v>
      </c>
      <c r="L1055" s="243" t="n"/>
      <c r="M1055" s="243" t="n"/>
    </row>
    <row r="1056">
      <c r="K1056" s="651" t="n">
        <v>0.01208333333333333</v>
      </c>
      <c r="L1056" s="243" t="n"/>
      <c r="M1056" s="243" t="n"/>
    </row>
    <row r="1057">
      <c r="K1057" s="651" t="n">
        <v>0.01209490740740741</v>
      </c>
      <c r="L1057" s="243" t="n"/>
      <c r="M1057" s="243" t="n"/>
    </row>
    <row r="1058">
      <c r="K1058" s="651" t="n">
        <v>0.01210648148148148</v>
      </c>
      <c r="L1058" s="243" t="n"/>
      <c r="M1058" s="243" t="n"/>
    </row>
    <row r="1059">
      <c r="K1059" s="651" t="n">
        <v>0.01211805555555556</v>
      </c>
      <c r="L1059" s="243" t="n"/>
      <c r="M1059" s="243" t="n"/>
    </row>
    <row r="1060">
      <c r="K1060" s="651" t="n">
        <v>0.01212962962962963</v>
      </c>
      <c r="L1060" s="243" t="n"/>
      <c r="M1060" s="243" t="n"/>
    </row>
    <row r="1061">
      <c r="K1061" s="651" t="n">
        <v>0.0121412037037037</v>
      </c>
      <c r="L1061" s="243" t="n"/>
      <c r="M1061" s="243" t="n"/>
    </row>
    <row r="1062">
      <c r="K1062" s="651" t="n">
        <v>0.01215277777777778</v>
      </c>
      <c r="L1062" s="243" t="n"/>
      <c r="M1062" s="243" t="n"/>
    </row>
    <row r="1063">
      <c r="K1063" s="651" t="n">
        <v>0.01216435185185185</v>
      </c>
      <c r="L1063" s="243" t="n"/>
      <c r="M1063" s="243" t="n"/>
    </row>
    <row r="1064">
      <c r="K1064" s="651" t="n">
        <v>0.01217592592592593</v>
      </c>
      <c r="L1064" s="243" t="n"/>
      <c r="M1064" s="243" t="n"/>
    </row>
    <row r="1065">
      <c r="K1065" s="651" t="n">
        <v>0.0121875</v>
      </c>
      <c r="L1065" s="243" t="n"/>
      <c r="M1065" s="243" t="n"/>
    </row>
    <row r="1066">
      <c r="K1066" s="651" t="n">
        <v>0.01219907407407407</v>
      </c>
      <c r="L1066" s="243" t="n"/>
      <c r="M1066" s="243" t="n"/>
    </row>
    <row r="1067">
      <c r="K1067" s="651" t="n">
        <v>0.01221064814814815</v>
      </c>
      <c r="L1067" s="243" t="n"/>
      <c r="M1067" s="243" t="n"/>
    </row>
    <row r="1068">
      <c r="K1068" s="651" t="n">
        <v>0.01222222222222222</v>
      </c>
      <c r="L1068" s="243" t="n"/>
      <c r="M1068" s="243" t="n"/>
    </row>
    <row r="1069">
      <c r="K1069" s="651" t="n">
        <v>0.0122337962962963</v>
      </c>
      <c r="L1069" s="243" t="n"/>
      <c r="M1069" s="243" t="n"/>
    </row>
    <row r="1070">
      <c r="K1070" s="651" t="n">
        <v>0.01224537037037037</v>
      </c>
      <c r="L1070" s="243" t="n"/>
      <c r="M1070" s="243" t="n"/>
    </row>
    <row r="1071">
      <c r="K1071" s="651" t="n">
        <v>0.01225694444444445</v>
      </c>
      <c r="L1071" s="243" t="n"/>
      <c r="M1071" s="243" t="n"/>
    </row>
    <row r="1072">
      <c r="K1072" s="651" t="n">
        <v>0.01226851851851852</v>
      </c>
      <c r="L1072" s="243" t="n"/>
      <c r="M1072" s="243" t="n"/>
    </row>
    <row r="1073">
      <c r="K1073" s="651" t="n">
        <v>0.01228009259259259</v>
      </c>
      <c r="L1073" s="243" t="n"/>
      <c r="M1073" s="243" t="n"/>
    </row>
    <row r="1074">
      <c r="K1074" s="651" t="n">
        <v>0.01229166666666667</v>
      </c>
      <c r="L1074" s="243" t="n"/>
      <c r="M1074" s="243" t="n"/>
    </row>
    <row r="1075">
      <c r="K1075" s="651" t="n">
        <v>0.01230324074074074</v>
      </c>
      <c r="L1075" s="243" t="n"/>
      <c r="M1075" s="243" t="n"/>
    </row>
    <row r="1076">
      <c r="K1076" s="651" t="n">
        <v>0.01231481481481481</v>
      </c>
      <c r="L1076" s="243" t="n"/>
      <c r="M1076" s="243" t="n"/>
    </row>
    <row r="1077">
      <c r="K1077" s="651" t="n">
        <v>0.01232638888888889</v>
      </c>
      <c r="L1077" s="243" t="n"/>
      <c r="M1077" s="243" t="n"/>
    </row>
    <row r="1078">
      <c r="K1078" s="651" t="n">
        <v>0.01233796296296296</v>
      </c>
      <c r="L1078" s="243" t="n"/>
      <c r="M1078" s="243" t="n"/>
    </row>
    <row r="1079">
      <c r="K1079" s="651" t="n">
        <v>0.01234953703703704</v>
      </c>
      <c r="L1079" s="243" t="n"/>
      <c r="M1079" s="243" t="n"/>
    </row>
    <row r="1080">
      <c r="K1080" s="651" t="n">
        <v>0.01236111111111111</v>
      </c>
      <c r="L1080" s="243" t="n"/>
      <c r="M1080" s="243" t="n"/>
    </row>
    <row r="1081">
      <c r="K1081" s="651" t="n">
        <v>0.01237268518518518</v>
      </c>
      <c r="L1081" s="243" t="n"/>
      <c r="M1081" s="243" t="n"/>
    </row>
    <row r="1082">
      <c r="K1082" s="651" t="n">
        <v>0.01238425925925926</v>
      </c>
      <c r="L1082" s="243" t="n"/>
      <c r="M1082" s="243" t="n"/>
    </row>
    <row r="1083">
      <c r="K1083" s="651" t="n">
        <v>0.01239583333333333</v>
      </c>
      <c r="L1083" s="243" t="n"/>
      <c r="M1083" s="243" t="n"/>
    </row>
    <row r="1084">
      <c r="K1084" s="651" t="n">
        <v>0.01240740740740741</v>
      </c>
      <c r="L1084" s="243" t="n"/>
      <c r="M1084" s="243" t="n"/>
    </row>
    <row r="1085">
      <c r="K1085" s="651" t="n">
        <v>0.01241898148148148</v>
      </c>
      <c r="L1085" s="243" t="n"/>
      <c r="M1085" s="243" t="n"/>
    </row>
    <row r="1086">
      <c r="K1086" s="651" t="n">
        <v>0.01243055555555556</v>
      </c>
      <c r="L1086" s="243" t="n"/>
      <c r="M1086" s="243" t="n"/>
    </row>
    <row r="1087">
      <c r="K1087" s="651" t="n">
        <v>0.01244212962962963</v>
      </c>
      <c r="L1087" s="243" t="n"/>
      <c r="M1087" s="243" t="n"/>
    </row>
    <row r="1088">
      <c r="K1088" s="651" t="n">
        <v>0.0124537037037037</v>
      </c>
      <c r="L1088" s="243" t="n"/>
      <c r="M1088" s="243" t="n"/>
    </row>
    <row r="1089">
      <c r="K1089" s="651" t="n">
        <v>0.01246527777777778</v>
      </c>
      <c r="L1089" s="243" t="n"/>
      <c r="M1089" s="243" t="n"/>
    </row>
    <row r="1090">
      <c r="K1090" s="651" t="n">
        <v>0.01247685185185185</v>
      </c>
      <c r="L1090" s="243" t="n"/>
      <c r="M1090" s="243" t="n"/>
    </row>
    <row r="1091">
      <c r="K1091" s="651" t="n">
        <v>0.01248842592592593</v>
      </c>
      <c r="L1091" s="243" t="n"/>
      <c r="M1091" s="243" t="n"/>
    </row>
    <row r="1092">
      <c r="K1092" s="651" t="n">
        <v>0.0125</v>
      </c>
      <c r="L1092" s="243" t="n"/>
      <c r="M1092" s="243" t="n"/>
    </row>
    <row r="1093">
      <c r="K1093" s="651" t="n">
        <v>0.01251157407407407</v>
      </c>
      <c r="L1093" s="243" t="n"/>
      <c r="M1093" s="243" t="n"/>
    </row>
    <row r="1094">
      <c r="K1094" s="651" t="n">
        <v>0.01252314814814815</v>
      </c>
      <c r="L1094" s="243" t="n"/>
      <c r="M1094" s="243" t="n"/>
    </row>
    <row r="1095">
      <c r="K1095" s="651" t="n">
        <v>0.01253472222222222</v>
      </c>
      <c r="L1095" s="243" t="n"/>
      <c r="M1095" s="243" t="n"/>
    </row>
    <row r="1096">
      <c r="K1096" s="651" t="n">
        <v>0.0125462962962963</v>
      </c>
      <c r="L1096" s="243" t="n"/>
      <c r="M1096" s="243" t="n"/>
    </row>
    <row r="1097">
      <c r="K1097" s="651" t="n">
        <v>0.01255787037037037</v>
      </c>
      <c r="L1097" s="243" t="n"/>
      <c r="M1097" s="243" t="n"/>
    </row>
    <row r="1098">
      <c r="K1098" s="651" t="n">
        <v>0.01256944444444444</v>
      </c>
      <c r="L1098" s="243" t="n"/>
      <c r="M1098" s="243" t="n"/>
    </row>
    <row r="1099">
      <c r="K1099" s="651" t="n">
        <v>0.01258101851851852</v>
      </c>
      <c r="L1099" s="243" t="n"/>
      <c r="M1099" s="243" t="n"/>
    </row>
    <row r="1100">
      <c r="K1100" s="651" t="n">
        <v>0.01259259259259259</v>
      </c>
      <c r="L1100" s="243" t="n"/>
      <c r="M1100" s="243" t="n"/>
    </row>
    <row r="1101">
      <c r="K1101" s="651" t="n">
        <v>0.01260416666666667</v>
      </c>
      <c r="L1101" s="243" t="n"/>
      <c r="M1101" s="243" t="n"/>
    </row>
    <row r="1102">
      <c r="K1102" s="651" t="n">
        <v>0.01261574074074074</v>
      </c>
      <c r="L1102" s="243" t="n"/>
      <c r="M1102" s="243" t="n"/>
    </row>
    <row r="1103">
      <c r="K1103" s="651" t="n">
        <v>0.01262731481481482</v>
      </c>
      <c r="L1103" s="243" t="n"/>
      <c r="M1103" s="243" t="n"/>
    </row>
    <row r="1104">
      <c r="K1104" s="651" t="n">
        <v>0.01263888888888889</v>
      </c>
      <c r="L1104" s="243" t="n"/>
      <c r="M1104" s="243" t="n"/>
    </row>
    <row r="1105">
      <c r="K1105" s="651" t="n">
        <v>0.01265046296296296</v>
      </c>
      <c r="L1105" s="243" t="n"/>
      <c r="M1105" s="243" t="n"/>
    </row>
    <row r="1106">
      <c r="K1106" s="651" t="n">
        <v>0.01266203703703704</v>
      </c>
      <c r="L1106" s="243" t="n"/>
      <c r="M1106" s="243" t="n"/>
    </row>
    <row r="1107">
      <c r="K1107" s="651" t="n">
        <v>0.01267361111111111</v>
      </c>
      <c r="L1107" s="243" t="n"/>
      <c r="M1107" s="243" t="n"/>
    </row>
    <row r="1108">
      <c r="K1108" s="651" t="n">
        <v>0.01268518518518518</v>
      </c>
      <c r="L1108" s="243" t="n"/>
      <c r="M1108" s="243" t="n"/>
    </row>
    <row r="1109">
      <c r="K1109" s="651" t="n">
        <v>0.01269675925925926</v>
      </c>
      <c r="L1109" s="243" t="n"/>
      <c r="M1109" s="243" t="n"/>
    </row>
    <row r="1110">
      <c r="K1110" s="651" t="n">
        <v>0.01270833333333333</v>
      </c>
      <c r="L1110" s="243" t="n"/>
      <c r="M1110" s="243" t="n"/>
    </row>
    <row r="1111">
      <c r="K1111" s="651" t="n">
        <v>0.01271990740740741</v>
      </c>
      <c r="L1111" s="243" t="n"/>
      <c r="M1111" s="243" t="n"/>
    </row>
    <row r="1112">
      <c r="K1112" s="651" t="n">
        <v>0.01273148148148148</v>
      </c>
      <c r="L1112" s="243" t="n"/>
      <c r="M1112" s="243" t="n"/>
    </row>
    <row r="1113">
      <c r="K1113" s="651" t="n">
        <v>0.01274305555555556</v>
      </c>
      <c r="L1113" s="243" t="n"/>
      <c r="M1113" s="243" t="n"/>
    </row>
    <row r="1114">
      <c r="K1114" s="651" t="n">
        <v>0.01275462962962963</v>
      </c>
      <c r="L1114" s="243" t="n"/>
      <c r="M1114" s="243" t="n"/>
    </row>
    <row r="1115">
      <c r="K1115" s="651" t="n">
        <v>0.0127662037037037</v>
      </c>
      <c r="L1115" s="243" t="n"/>
      <c r="M1115" s="243" t="n"/>
    </row>
    <row r="1116">
      <c r="K1116" s="651" t="n">
        <v>0.01277777777777778</v>
      </c>
      <c r="L1116" s="243" t="n"/>
      <c r="M1116" s="243" t="n"/>
    </row>
    <row r="1117">
      <c r="K1117" s="651" t="n">
        <v>0.01278935185185185</v>
      </c>
      <c r="L1117" s="243" t="n"/>
      <c r="M1117" s="243" t="n"/>
    </row>
    <row r="1118">
      <c r="K1118" s="651" t="n">
        <v>0.01280092592592593</v>
      </c>
      <c r="L1118" s="243" t="n"/>
      <c r="M1118" s="243" t="n"/>
    </row>
    <row r="1119">
      <c r="K1119" s="651" t="n">
        <v>0.0128125</v>
      </c>
      <c r="L1119" s="243" t="n"/>
      <c r="M1119" s="243" t="n"/>
    </row>
    <row r="1120">
      <c r="K1120" s="651" t="n">
        <v>0.01282407407407407</v>
      </c>
      <c r="L1120" s="243" t="n"/>
      <c r="M1120" s="243" t="n"/>
    </row>
    <row r="1121">
      <c r="K1121" s="651" t="n">
        <v>0.01283564814814815</v>
      </c>
      <c r="L1121" s="243" t="n"/>
      <c r="M1121" s="243" t="n"/>
    </row>
    <row r="1122">
      <c r="K1122" s="651" t="n">
        <v>0.01284722222222222</v>
      </c>
      <c r="L1122" s="243" t="n"/>
      <c r="M1122" s="243" t="n"/>
    </row>
    <row r="1123">
      <c r="K1123" s="651" t="n">
        <v>0.0128587962962963</v>
      </c>
      <c r="L1123" s="243" t="n"/>
      <c r="M1123" s="243" t="n"/>
    </row>
    <row r="1124">
      <c r="K1124" s="651" t="n">
        <v>0.01287037037037037</v>
      </c>
      <c r="L1124" s="243" t="n"/>
      <c r="M1124" s="243" t="n"/>
    </row>
    <row r="1125">
      <c r="K1125" s="651" t="n">
        <v>0.01288194444444444</v>
      </c>
      <c r="L1125" s="243" t="n"/>
      <c r="M1125" s="243" t="n"/>
    </row>
    <row r="1126">
      <c r="K1126" s="651" t="n">
        <v>0.01289351851851852</v>
      </c>
      <c r="L1126" s="243" t="n"/>
      <c r="M1126" s="243" t="n"/>
    </row>
    <row r="1127">
      <c r="K1127" s="651" t="n">
        <v>0.01290509259259259</v>
      </c>
      <c r="L1127" s="243" t="n"/>
      <c r="M1127" s="243" t="n"/>
    </row>
    <row r="1128">
      <c r="K1128" s="651" t="n">
        <v>0.01291666666666667</v>
      </c>
      <c r="L1128" s="243" t="n"/>
      <c r="M1128" s="243" t="n"/>
    </row>
    <row r="1129">
      <c r="K1129" s="651" t="n">
        <v>0.01292824074074074</v>
      </c>
      <c r="L1129" s="243" t="n"/>
      <c r="M1129" s="243" t="n"/>
    </row>
    <row r="1130">
      <c r="K1130" s="651" t="n">
        <v>0.01293981481481482</v>
      </c>
      <c r="L1130" s="243" t="n"/>
      <c r="M1130" s="243" t="n"/>
    </row>
    <row r="1131">
      <c r="K1131" s="651" t="n">
        <v>0.01295138888888889</v>
      </c>
      <c r="L1131" s="243" t="n"/>
      <c r="M1131" s="243" t="n"/>
    </row>
    <row r="1132">
      <c r="K1132" s="651" t="n">
        <v>0.01296296296296296</v>
      </c>
      <c r="L1132" s="243" t="n"/>
      <c r="M1132" s="243" t="n"/>
    </row>
    <row r="1133">
      <c r="K1133" s="651" t="n">
        <v>0.01297453703703704</v>
      </c>
      <c r="L1133" s="243" t="n"/>
      <c r="M1133" s="243" t="n"/>
    </row>
    <row r="1134">
      <c r="K1134" s="651" t="n">
        <v>0.01298611111111111</v>
      </c>
      <c r="L1134" s="243" t="n"/>
      <c r="M1134" s="243" t="n"/>
    </row>
    <row r="1135">
      <c r="K1135" s="651" t="n">
        <v>0.01299768518518519</v>
      </c>
      <c r="L1135" s="243" t="n"/>
      <c r="M1135" s="243" t="n"/>
    </row>
    <row r="1136">
      <c r="K1136" s="651" t="n">
        <v>0.01300925925925926</v>
      </c>
      <c r="L1136" s="243" t="n"/>
      <c r="M1136" s="243" t="n"/>
    </row>
    <row r="1137">
      <c r="K1137" s="651" t="n">
        <v>0.01302083333333333</v>
      </c>
      <c r="L1137" s="243" t="n"/>
      <c r="M1137" s="243" t="n"/>
    </row>
    <row r="1138">
      <c r="K1138" s="651" t="n">
        <v>0.01303240740740741</v>
      </c>
      <c r="L1138" s="243" t="n"/>
      <c r="M1138" s="243" t="n"/>
    </row>
    <row r="1139">
      <c r="K1139" s="651" t="n">
        <v>0.01304398148148148</v>
      </c>
      <c r="L1139" s="243" t="n"/>
      <c r="M1139" s="243" t="n"/>
    </row>
    <row r="1140">
      <c r="K1140" s="651" t="n">
        <v>0.01305555555555556</v>
      </c>
      <c r="L1140" s="243" t="n"/>
      <c r="M1140" s="243" t="n"/>
    </row>
    <row r="1141">
      <c r="K1141" s="651" t="n">
        <v>0.01306712962962963</v>
      </c>
      <c r="L1141" s="243" t="n"/>
      <c r="M1141" s="243" t="n"/>
    </row>
    <row r="1142">
      <c r="K1142" s="651" t="n">
        <v>0.0130787037037037</v>
      </c>
      <c r="L1142" s="243" t="n"/>
      <c r="M1142" s="243" t="n"/>
    </row>
    <row r="1143">
      <c r="K1143" s="651" t="n">
        <v>0.01309027777777778</v>
      </c>
      <c r="L1143" s="243" t="n"/>
      <c r="M1143" s="243" t="n"/>
    </row>
    <row r="1144">
      <c r="K1144" s="651" t="n">
        <v>0.01310185185185185</v>
      </c>
      <c r="L1144" s="243" t="n"/>
      <c r="M1144" s="243" t="n"/>
    </row>
    <row r="1145">
      <c r="K1145" s="651" t="n">
        <v>0.01311342592592593</v>
      </c>
      <c r="L1145" s="243" t="n"/>
      <c r="M1145" s="243" t="n"/>
    </row>
    <row r="1146">
      <c r="K1146" s="651" t="n">
        <v>0.013125</v>
      </c>
      <c r="L1146" s="243" t="n"/>
      <c r="M1146" s="243" t="n"/>
    </row>
    <row r="1147">
      <c r="K1147" s="651" t="n">
        <v>0.01313657407407407</v>
      </c>
      <c r="L1147" s="243" t="n"/>
      <c r="M1147" s="243" t="n"/>
    </row>
    <row r="1148">
      <c r="K1148" s="651" t="n">
        <v>0.01314814814814815</v>
      </c>
      <c r="L1148" s="243" t="n"/>
      <c r="M1148" s="243" t="n"/>
    </row>
    <row r="1149">
      <c r="K1149" s="651" t="n">
        <v>0.01315972222222222</v>
      </c>
      <c r="L1149" s="243" t="n"/>
      <c r="M1149" s="243" t="n"/>
    </row>
    <row r="1150">
      <c r="K1150" s="651" t="n">
        <v>0.0131712962962963</v>
      </c>
      <c r="L1150" s="243" t="n"/>
      <c r="M1150" s="243" t="n"/>
    </row>
    <row r="1151">
      <c r="K1151" s="651" t="n">
        <v>0.01318287037037037</v>
      </c>
      <c r="L1151" s="243" t="n"/>
      <c r="M1151" s="243" t="n"/>
    </row>
    <row r="1152">
      <c r="K1152" s="651" t="n">
        <v>0.01319444444444444</v>
      </c>
      <c r="L1152" s="243" t="n"/>
      <c r="M1152" s="243" t="n"/>
    </row>
    <row r="1153">
      <c r="K1153" s="651" t="n">
        <v>0.01320601851851852</v>
      </c>
      <c r="L1153" s="243" t="n"/>
      <c r="M1153" s="243" t="n"/>
    </row>
    <row r="1154">
      <c r="K1154" s="651" t="n">
        <v>0.01321759259259259</v>
      </c>
      <c r="L1154" s="243" t="n"/>
      <c r="M1154" s="243" t="n"/>
    </row>
    <row r="1155">
      <c r="K1155" s="651" t="n">
        <v>0.01322916666666667</v>
      </c>
      <c r="L1155" s="243" t="n"/>
      <c r="M1155" s="243" t="n"/>
    </row>
    <row r="1156">
      <c r="K1156" s="651" t="n">
        <v>0.01324074074074074</v>
      </c>
      <c r="L1156" s="243" t="n"/>
      <c r="M1156" s="243" t="n"/>
    </row>
    <row r="1157">
      <c r="K1157" s="651" t="n">
        <v>0.01325231481481481</v>
      </c>
      <c r="L1157" s="243" t="n"/>
      <c r="M1157" s="243" t="n"/>
    </row>
    <row r="1158">
      <c r="K1158" s="651" t="n">
        <v>0.01326388888888889</v>
      </c>
      <c r="L1158" s="243" t="n"/>
      <c r="M1158" s="243" t="n"/>
    </row>
    <row r="1159">
      <c r="K1159" s="651" t="n">
        <v>0.01327546296296296</v>
      </c>
      <c r="L1159" s="243" t="n"/>
      <c r="M1159" s="243" t="n"/>
    </row>
    <row r="1160">
      <c r="K1160" s="651" t="n">
        <v>0.01328703703703704</v>
      </c>
      <c r="L1160" s="243" t="n"/>
      <c r="M1160" s="243" t="n"/>
    </row>
    <row r="1161">
      <c r="K1161" s="651" t="n">
        <v>0.01329861111111111</v>
      </c>
      <c r="L1161" s="243" t="n"/>
      <c r="M1161" s="243" t="n"/>
    </row>
    <row r="1162">
      <c r="K1162" s="651" t="n">
        <v>0.01331018518518519</v>
      </c>
      <c r="L1162" s="243" t="n"/>
      <c r="M1162" s="243" t="n"/>
    </row>
    <row r="1163">
      <c r="K1163" s="651" t="n">
        <v>0.01332175925925926</v>
      </c>
      <c r="L1163" s="243" t="n"/>
      <c r="M1163" s="243" t="n"/>
    </row>
    <row r="1164">
      <c r="K1164" s="651" t="n">
        <v>0.01333333333333333</v>
      </c>
      <c r="L1164" s="243" t="n"/>
      <c r="M1164" s="243" t="n"/>
    </row>
    <row r="1165">
      <c r="K1165" s="651" t="n">
        <v>0.01334490740740741</v>
      </c>
      <c r="L1165" s="243" t="n"/>
      <c r="M1165" s="243" t="n"/>
    </row>
    <row r="1166">
      <c r="K1166" s="651" t="n">
        <v>0.01335648148148148</v>
      </c>
      <c r="L1166" s="243" t="n"/>
      <c r="M1166" s="243" t="n"/>
    </row>
    <row r="1167">
      <c r="K1167" s="651" t="n">
        <v>0.01336805555555555</v>
      </c>
      <c r="L1167" s="243" t="n"/>
      <c r="M1167" s="243" t="n"/>
    </row>
    <row r="1168">
      <c r="K1168" s="651" t="n">
        <v>0.01337962962962963</v>
      </c>
      <c r="L1168" s="243" t="n"/>
      <c r="M1168" s="243" t="n"/>
    </row>
    <row r="1169">
      <c r="K1169" s="651" t="n">
        <v>0.0133912037037037</v>
      </c>
      <c r="L1169" s="243" t="n"/>
      <c r="M1169" s="243" t="n"/>
    </row>
    <row r="1170">
      <c r="K1170" s="651" t="n">
        <v>0.01340277777777778</v>
      </c>
      <c r="L1170" s="243" t="n"/>
      <c r="M1170" s="243" t="n"/>
    </row>
    <row r="1171">
      <c r="K1171" s="651" t="n">
        <v>0.01341435185185185</v>
      </c>
      <c r="L1171" s="243" t="n"/>
      <c r="M1171" s="243" t="n"/>
    </row>
    <row r="1172">
      <c r="K1172" s="651" t="n">
        <v>0.01342592592592593</v>
      </c>
      <c r="L1172" s="243" t="n"/>
      <c r="M1172" s="243" t="n"/>
    </row>
    <row r="1173">
      <c r="K1173" s="651" t="n">
        <v>0.0134375</v>
      </c>
      <c r="L1173" s="243" t="n"/>
      <c r="M1173" s="243" t="n"/>
    </row>
    <row r="1174">
      <c r="K1174" s="651" t="n">
        <v>0.01344907407407407</v>
      </c>
      <c r="L1174" s="243" t="n"/>
      <c r="M1174" s="243" t="n"/>
    </row>
    <row r="1175">
      <c r="K1175" s="651" t="n">
        <v>0.01346064814814815</v>
      </c>
      <c r="L1175" s="243" t="n"/>
      <c r="M1175" s="243" t="n"/>
    </row>
    <row r="1176">
      <c r="K1176" s="651" t="n">
        <v>0.01347222222222222</v>
      </c>
      <c r="L1176" s="243" t="n"/>
      <c r="M1176" s="243" t="n"/>
    </row>
    <row r="1177">
      <c r="K1177" s="651" t="n">
        <v>0.0134837962962963</v>
      </c>
      <c r="L1177" s="243" t="n"/>
      <c r="M1177" s="243" t="n"/>
    </row>
    <row r="1178">
      <c r="K1178" s="651" t="n">
        <v>0.01349537037037037</v>
      </c>
      <c r="L1178" s="243" t="n"/>
      <c r="M1178" s="243" t="n"/>
    </row>
    <row r="1179">
      <c r="K1179" s="651" t="n">
        <v>0.01350694444444444</v>
      </c>
      <c r="L1179" s="243" t="n"/>
      <c r="M1179" s="243" t="n"/>
    </row>
    <row r="1180">
      <c r="K1180" s="651" t="n">
        <v>0.01351851851851852</v>
      </c>
      <c r="L1180" s="243" t="n"/>
      <c r="M1180" s="243" t="n"/>
    </row>
    <row r="1181">
      <c r="K1181" s="651" t="n">
        <v>0.01353009259259259</v>
      </c>
      <c r="L1181" s="243" t="n"/>
      <c r="M1181" s="243" t="n"/>
    </row>
    <row r="1182">
      <c r="K1182" s="651" t="n">
        <v>0.01354166666666667</v>
      </c>
      <c r="L1182" s="243" t="n"/>
      <c r="M1182" s="243" t="n"/>
    </row>
    <row r="1183">
      <c r="K1183" s="651" t="n">
        <v>0.01355324074074074</v>
      </c>
      <c r="L1183" s="243" t="n"/>
      <c r="M1183" s="243" t="n"/>
    </row>
    <row r="1184">
      <c r="K1184" s="651" t="n">
        <v>0.01356481481481481</v>
      </c>
      <c r="L1184" s="243" t="n"/>
      <c r="M1184" s="243" t="n"/>
    </row>
    <row r="1185">
      <c r="K1185" s="651" t="n">
        <v>0.01357638888888889</v>
      </c>
      <c r="L1185" s="243" t="n"/>
      <c r="M1185" s="243" t="n"/>
    </row>
    <row r="1186">
      <c r="K1186" s="651" t="n">
        <v>0.01358796296296296</v>
      </c>
      <c r="L1186" s="243" t="n"/>
      <c r="M1186" s="243" t="n"/>
    </row>
    <row r="1187">
      <c r="K1187" s="651" t="n">
        <v>0.01359953703703704</v>
      </c>
      <c r="L1187" s="243" t="n"/>
      <c r="M1187" s="243" t="n"/>
    </row>
    <row r="1188">
      <c r="K1188" s="651" t="n">
        <v>0.01361111111111111</v>
      </c>
      <c r="L1188" s="243" t="n"/>
      <c r="M1188" s="243" t="n"/>
    </row>
    <row r="1189">
      <c r="K1189" s="651" t="n">
        <v>0.01362268518518519</v>
      </c>
      <c r="L1189" s="243" t="n"/>
      <c r="M1189" s="243" t="n"/>
    </row>
    <row r="1190">
      <c r="K1190" s="651" t="n">
        <v>0.01363425925925926</v>
      </c>
      <c r="L1190" s="243" t="n"/>
      <c r="M1190" s="243" t="n"/>
    </row>
    <row r="1191">
      <c r="K1191" s="651" t="n">
        <v>0.01364583333333333</v>
      </c>
      <c r="L1191" s="243" t="n"/>
      <c r="M1191" s="243" t="n"/>
    </row>
    <row r="1192">
      <c r="K1192" s="651" t="n">
        <v>0.01365740740740741</v>
      </c>
      <c r="L1192" s="243" t="n"/>
      <c r="M1192" s="243" t="n"/>
    </row>
    <row r="1193">
      <c r="K1193" s="651" t="n">
        <v>0.01366898148148148</v>
      </c>
      <c r="L1193" s="243" t="n"/>
      <c r="M1193" s="243" t="n"/>
    </row>
    <row r="1194">
      <c r="K1194" s="651" t="n">
        <v>0.01368055555555556</v>
      </c>
      <c r="L1194" s="243" t="n"/>
      <c r="M1194" s="243" t="n"/>
    </row>
    <row r="1195">
      <c r="K1195" s="651" t="n">
        <v>0.01369212962962963</v>
      </c>
      <c r="L1195" s="243" t="n"/>
      <c r="M1195" s="243" t="n"/>
    </row>
    <row r="1196">
      <c r="K1196" s="651" t="n">
        <v>0.0137037037037037</v>
      </c>
      <c r="L1196" s="243" t="n"/>
      <c r="M1196" s="243" t="n"/>
    </row>
    <row r="1197">
      <c r="K1197" s="651" t="n">
        <v>0.01371527777777778</v>
      </c>
      <c r="L1197" s="243" t="n"/>
      <c r="M1197" s="243" t="n"/>
    </row>
    <row r="1198">
      <c r="K1198" s="651" t="n">
        <v>0.01372685185185185</v>
      </c>
      <c r="L1198" s="243" t="n"/>
      <c r="M1198" s="243" t="n"/>
    </row>
    <row r="1199">
      <c r="K1199" s="651" t="n">
        <v>0.01373842592592593</v>
      </c>
      <c r="L1199" s="243" t="n"/>
      <c r="M1199" s="243" t="n"/>
    </row>
    <row r="1200">
      <c r="K1200" s="651" t="n">
        <v>0.01375</v>
      </c>
      <c r="L1200" s="243" t="n"/>
      <c r="M1200" s="243" t="n"/>
    </row>
    <row r="1201">
      <c r="K1201" s="651" t="n">
        <v>0.01376157407407407</v>
      </c>
      <c r="L1201" s="243" t="n"/>
      <c r="M1201" s="243" t="n"/>
    </row>
    <row r="1202">
      <c r="K1202" s="651" t="n">
        <v>0.01377314814814815</v>
      </c>
      <c r="L1202" s="243" t="n"/>
      <c r="M1202" s="243" t="n"/>
    </row>
    <row r="1203">
      <c r="K1203" s="651" t="n">
        <v>0.01378472222222222</v>
      </c>
      <c r="L1203" s="243" t="n"/>
      <c r="M1203" s="243" t="n"/>
    </row>
    <row r="1204">
      <c r="K1204" s="651" t="n">
        <v>0.0137962962962963</v>
      </c>
      <c r="L1204" s="243" t="n"/>
      <c r="M1204" s="243" t="n"/>
    </row>
    <row r="1205">
      <c r="K1205" s="651" t="n">
        <v>0.01380787037037037</v>
      </c>
      <c r="L1205" s="243" t="n"/>
      <c r="M1205" s="243" t="n"/>
    </row>
    <row r="1206">
      <c r="K1206" s="651" t="n">
        <v>0.01381944444444444</v>
      </c>
      <c r="L1206" s="243" t="n"/>
      <c r="M1206" s="243" t="n"/>
    </row>
    <row r="1207">
      <c r="K1207" s="651" t="n">
        <v>0.01383101851851852</v>
      </c>
      <c r="L1207" s="243" t="n"/>
      <c r="M1207" s="243" t="n"/>
    </row>
    <row r="1208">
      <c r="K1208" s="651" t="n">
        <v>0.01384259259259259</v>
      </c>
      <c r="L1208" s="243" t="n"/>
      <c r="M1208" s="243" t="n"/>
    </row>
    <row r="1209">
      <c r="K1209" s="651" t="n">
        <v>0.01385416666666667</v>
      </c>
      <c r="L1209" s="243" t="n"/>
      <c r="M1209" s="243" t="n"/>
    </row>
    <row r="1210">
      <c r="K1210" s="651" t="n">
        <v>0.01386574074074074</v>
      </c>
      <c r="L1210" s="243" t="n"/>
      <c r="M1210" s="243" t="n"/>
    </row>
    <row r="1211">
      <c r="K1211" s="651" t="n">
        <v>0.01387731481481481</v>
      </c>
      <c r="L1211" s="243" t="n"/>
      <c r="M1211" s="243" t="n"/>
    </row>
    <row r="1212">
      <c r="K1212" s="651" t="n">
        <v>0.01388888888888889</v>
      </c>
      <c r="L1212" s="243" t="n"/>
      <c r="M1212" s="243" t="n"/>
    </row>
    <row r="1213">
      <c r="K1213" s="651" t="n">
        <v>0.01390046296296296</v>
      </c>
      <c r="L1213" s="243" t="n"/>
      <c r="M1213" s="243" t="n"/>
    </row>
    <row r="1214">
      <c r="K1214" s="651" t="n">
        <v>0.01391203703703704</v>
      </c>
      <c r="L1214" s="243" t="n"/>
      <c r="M1214" s="243" t="n"/>
    </row>
    <row r="1215">
      <c r="K1215" s="651" t="n">
        <v>0.01392361111111111</v>
      </c>
      <c r="L1215" s="243" t="n"/>
      <c r="M1215" s="243" t="n"/>
    </row>
    <row r="1216">
      <c r="K1216" s="651" t="n">
        <v>0.01393518518518519</v>
      </c>
      <c r="L1216" s="243" t="n"/>
      <c r="M1216" s="243" t="n"/>
    </row>
    <row r="1217">
      <c r="K1217" s="651" t="n">
        <v>0.01394675925925926</v>
      </c>
      <c r="L1217" s="243" t="n"/>
      <c r="M1217" s="243" t="n"/>
    </row>
    <row r="1218">
      <c r="K1218" s="651" t="n">
        <v>0.01395833333333333</v>
      </c>
      <c r="L1218" s="243" t="n"/>
      <c r="M1218" s="243" t="n"/>
    </row>
    <row r="1219">
      <c r="K1219" s="651" t="n">
        <v>0.01396990740740741</v>
      </c>
      <c r="L1219" s="243" t="n"/>
      <c r="M1219" s="243" t="n"/>
    </row>
    <row r="1220">
      <c r="K1220" s="651" t="n">
        <v>0.01398148148148148</v>
      </c>
      <c r="L1220" s="243" t="n"/>
      <c r="M1220" s="243" t="n"/>
    </row>
    <row r="1221">
      <c r="K1221" s="651" t="n">
        <v>0.01399305555555556</v>
      </c>
      <c r="L1221" s="243" t="n"/>
      <c r="M1221" s="243" t="n"/>
    </row>
    <row r="1222">
      <c r="K1222" s="651" t="n">
        <v>0.01400462962962963</v>
      </c>
      <c r="L1222" s="243" t="n"/>
      <c r="M1222" s="243" t="n"/>
    </row>
    <row r="1223">
      <c r="K1223" s="651" t="n">
        <v>0.0140162037037037</v>
      </c>
      <c r="L1223" s="243" t="n"/>
      <c r="M1223" s="243" t="n"/>
    </row>
    <row r="1224">
      <c r="K1224" s="651" t="n">
        <v>0.01402777777777778</v>
      </c>
      <c r="L1224" s="243" t="n"/>
      <c r="M1224" s="243" t="n"/>
    </row>
    <row r="1225">
      <c r="K1225" s="651" t="n">
        <v>0.01403935185185185</v>
      </c>
      <c r="L1225" s="243" t="n"/>
      <c r="M1225" s="243" t="n"/>
    </row>
    <row r="1226">
      <c r="K1226" s="651" t="n">
        <v>0.01405092592592593</v>
      </c>
      <c r="L1226" s="243" t="n"/>
      <c r="M1226" s="243" t="n"/>
    </row>
    <row r="1227">
      <c r="K1227" s="651" t="n">
        <v>0.0140625</v>
      </c>
      <c r="L1227" s="243" t="n"/>
      <c r="M1227" s="243" t="n"/>
    </row>
    <row r="1228">
      <c r="K1228" s="651" t="n">
        <v>0.01407407407407407</v>
      </c>
      <c r="L1228" s="243" t="n"/>
      <c r="M1228" s="243" t="n"/>
    </row>
    <row r="1229">
      <c r="K1229" s="651" t="n">
        <v>0.01408564814814815</v>
      </c>
      <c r="L1229" s="243" t="n"/>
      <c r="M1229" s="243" t="n"/>
    </row>
    <row r="1230">
      <c r="K1230" s="651" t="n">
        <v>0.01409722222222222</v>
      </c>
      <c r="L1230" s="243" t="n"/>
      <c r="M1230" s="243" t="n"/>
    </row>
    <row r="1231">
      <c r="K1231" s="651" t="n">
        <v>0.0141087962962963</v>
      </c>
      <c r="L1231" s="243" t="n"/>
      <c r="M1231" s="243" t="n"/>
    </row>
    <row r="1232">
      <c r="K1232" s="651" t="n">
        <v>0.01412037037037037</v>
      </c>
      <c r="L1232" s="243" t="n"/>
      <c r="M1232" s="243" t="n"/>
    </row>
    <row r="1233">
      <c r="K1233" s="651" t="n">
        <v>0.01413194444444445</v>
      </c>
      <c r="L1233" s="243" t="n"/>
      <c r="M1233" s="243" t="n"/>
    </row>
    <row r="1234">
      <c r="K1234" s="651" t="n">
        <v>0.01414351851851852</v>
      </c>
      <c r="L1234" s="243" t="n"/>
      <c r="M1234" s="243" t="n"/>
    </row>
    <row r="1235">
      <c r="K1235" s="651" t="n">
        <v>0.01415509259259259</v>
      </c>
      <c r="L1235" s="243" t="n"/>
      <c r="M1235" s="243" t="n"/>
    </row>
    <row r="1236">
      <c r="K1236" s="651" t="n">
        <v>0.01416666666666667</v>
      </c>
      <c r="L1236" s="243" t="n"/>
      <c r="M1236" s="243" t="n"/>
    </row>
    <row r="1237">
      <c r="K1237" s="651" t="n">
        <v>0.01417824074074074</v>
      </c>
      <c r="L1237" s="243" t="n"/>
      <c r="M1237" s="243" t="n"/>
    </row>
    <row r="1238">
      <c r="K1238" s="651" t="n">
        <v>0.01418981481481481</v>
      </c>
      <c r="L1238" s="243" t="n"/>
      <c r="M1238" s="243" t="n"/>
    </row>
    <row r="1239">
      <c r="K1239" s="651" t="n">
        <v>0.01420138888888889</v>
      </c>
      <c r="L1239" s="243" t="n"/>
      <c r="M1239" s="243" t="n"/>
    </row>
    <row r="1240">
      <c r="K1240" s="651" t="n">
        <v>0.01421296296296296</v>
      </c>
      <c r="L1240" s="243" t="n"/>
      <c r="M1240" s="243" t="n"/>
    </row>
    <row r="1241">
      <c r="K1241" s="651" t="n">
        <v>0.01422453703703704</v>
      </c>
      <c r="L1241" s="243" t="n"/>
      <c r="M1241" s="243" t="n"/>
    </row>
    <row r="1242">
      <c r="K1242" s="651" t="n">
        <v>0.01423611111111111</v>
      </c>
      <c r="L1242" s="243" t="n"/>
      <c r="M1242" s="243" t="n"/>
    </row>
    <row r="1243">
      <c r="K1243" s="651" t="n">
        <v>0.01424768518518518</v>
      </c>
      <c r="L1243" s="243" t="n"/>
      <c r="M1243" s="243" t="n"/>
    </row>
    <row r="1244">
      <c r="K1244" s="651" t="n">
        <v>0.01425925925925926</v>
      </c>
      <c r="L1244" s="243" t="n"/>
      <c r="M1244" s="243" t="n"/>
    </row>
    <row r="1245">
      <c r="K1245" s="651" t="n">
        <v>0.01427083333333333</v>
      </c>
      <c r="L1245" s="243" t="n"/>
      <c r="M1245" s="243" t="n"/>
    </row>
    <row r="1246">
      <c r="K1246" s="651" t="n">
        <v>0.01428240740740741</v>
      </c>
      <c r="L1246" s="243" t="n"/>
      <c r="M1246" s="243" t="n"/>
    </row>
    <row r="1247">
      <c r="K1247" s="651" t="n">
        <v>0.01429398148148148</v>
      </c>
      <c r="L1247" s="243" t="n"/>
      <c r="M1247" s="243" t="n"/>
    </row>
    <row r="1248">
      <c r="K1248" s="651" t="n">
        <v>0.01430555555555556</v>
      </c>
      <c r="L1248" s="243" t="n"/>
      <c r="M1248" s="243" t="n"/>
    </row>
    <row r="1249">
      <c r="K1249" s="651" t="n">
        <v>0.01431712962962963</v>
      </c>
      <c r="L1249" s="243" t="n"/>
      <c r="M1249" s="243" t="n"/>
    </row>
    <row r="1250">
      <c r="K1250" s="651" t="n">
        <v>0.0143287037037037</v>
      </c>
      <c r="L1250" s="243" t="n"/>
      <c r="M1250" s="243" t="n"/>
    </row>
    <row r="1251">
      <c r="K1251" s="651" t="n">
        <v>0.01434027777777778</v>
      </c>
      <c r="L1251" s="243" t="n"/>
      <c r="M1251" s="243" t="n"/>
    </row>
    <row r="1252">
      <c r="K1252" s="651" t="n">
        <v>0.01435185185185185</v>
      </c>
      <c r="L1252" s="243" t="n"/>
      <c r="M1252" s="243" t="n"/>
    </row>
    <row r="1253">
      <c r="K1253" s="651" t="n">
        <v>0.01436342592592593</v>
      </c>
      <c r="L1253" s="243" t="n"/>
      <c r="M1253" s="243" t="n"/>
    </row>
    <row r="1254">
      <c r="K1254" s="651" t="n">
        <v>0.014375</v>
      </c>
      <c r="L1254" s="243" t="n"/>
      <c r="M1254" s="243" t="n"/>
    </row>
    <row r="1255">
      <c r="K1255" s="651" t="n">
        <v>0.01438657407407407</v>
      </c>
      <c r="L1255" s="243" t="n"/>
      <c r="M1255" s="243" t="n"/>
    </row>
    <row r="1256">
      <c r="K1256" s="651" t="n">
        <v>0.01439814814814815</v>
      </c>
      <c r="L1256" s="243" t="n"/>
      <c r="M1256" s="243" t="n"/>
    </row>
    <row r="1257">
      <c r="K1257" s="651" t="n">
        <v>0.01440972222222222</v>
      </c>
      <c r="L1257" s="243" t="n"/>
      <c r="M1257" s="243" t="n"/>
    </row>
    <row r="1258">
      <c r="K1258" s="651" t="n">
        <v>0.0144212962962963</v>
      </c>
      <c r="L1258" s="243" t="n"/>
      <c r="M1258" s="243" t="n"/>
    </row>
    <row r="1259">
      <c r="K1259" s="651" t="n">
        <v>0.01443287037037037</v>
      </c>
      <c r="L1259" s="243" t="n"/>
      <c r="M1259" s="243" t="n"/>
    </row>
    <row r="1260">
      <c r="K1260" s="651" t="n">
        <v>0.01444444444444444</v>
      </c>
      <c r="L1260" s="243" t="n"/>
      <c r="M1260" s="243" t="n"/>
    </row>
    <row r="1261">
      <c r="K1261" s="651" t="n">
        <v>0.01445601851851852</v>
      </c>
      <c r="L1261" s="243" t="n"/>
      <c r="M1261" s="243" t="n"/>
    </row>
    <row r="1262">
      <c r="K1262" s="651" t="n">
        <v>0.01446759259259259</v>
      </c>
      <c r="L1262" s="243" t="n"/>
      <c r="M1262" s="243" t="n"/>
    </row>
    <row r="1263">
      <c r="K1263" s="651" t="n">
        <v>0.01447916666666667</v>
      </c>
      <c r="L1263" s="243" t="n"/>
      <c r="M1263" s="243" t="n"/>
    </row>
    <row r="1264">
      <c r="K1264" s="651" t="n">
        <v>0.01449074074074074</v>
      </c>
      <c r="L1264" s="243" t="n"/>
      <c r="M1264" s="243" t="n"/>
    </row>
    <row r="1265">
      <c r="K1265" s="651" t="n">
        <v>0.01450231481481482</v>
      </c>
      <c r="L1265" s="243" t="n"/>
      <c r="M1265" s="243" t="n"/>
    </row>
    <row r="1266">
      <c r="K1266" s="651" t="n">
        <v>0.01451388888888889</v>
      </c>
      <c r="L1266" s="243" t="n"/>
      <c r="M1266" s="243" t="n"/>
    </row>
    <row r="1267">
      <c r="K1267" s="651" t="n">
        <v>0.01452546296296296</v>
      </c>
      <c r="L1267" s="243" t="n"/>
      <c r="M1267" s="243" t="n"/>
    </row>
    <row r="1268">
      <c r="K1268" s="651" t="n">
        <v>0.01453703703703704</v>
      </c>
      <c r="L1268" s="243" t="n"/>
      <c r="M1268" s="243" t="n"/>
    </row>
    <row r="1269">
      <c r="K1269" s="651" t="n">
        <v>0.01454861111111111</v>
      </c>
      <c r="L1269" s="243" t="n"/>
      <c r="M1269" s="243" t="n"/>
    </row>
    <row r="1270">
      <c r="K1270" s="651" t="n">
        <v>0.01456018518518518</v>
      </c>
      <c r="L1270" s="243" t="n"/>
      <c r="M1270" s="243" t="n"/>
    </row>
    <row r="1271">
      <c r="K1271" s="651" t="n">
        <v>0.01457175925925926</v>
      </c>
      <c r="L1271" s="243" t="n"/>
      <c r="M1271" s="243" t="n"/>
    </row>
    <row r="1272">
      <c r="K1272" s="651" t="n">
        <v>0.01458333333333333</v>
      </c>
      <c r="L1272" s="243" t="n"/>
      <c r="M1272" s="243" t="n"/>
    </row>
    <row r="1273">
      <c r="K1273" s="651" t="n">
        <v>0.01459490740740741</v>
      </c>
      <c r="L1273" s="243" t="n"/>
      <c r="M1273" s="243" t="n"/>
    </row>
    <row r="1274">
      <c r="K1274" s="651" t="n">
        <v>0.01460648148148148</v>
      </c>
      <c r="L1274" s="243" t="n"/>
      <c r="M1274" s="243" t="n"/>
    </row>
    <row r="1275">
      <c r="K1275" s="651" t="n">
        <v>0.01461805555555556</v>
      </c>
      <c r="L1275" s="243" t="n"/>
      <c r="M1275" s="243" t="n"/>
    </row>
    <row r="1276">
      <c r="K1276" s="651" t="n">
        <v>0.01462962962962963</v>
      </c>
      <c r="L1276" s="243" t="n"/>
      <c r="M1276" s="243" t="n"/>
    </row>
    <row r="1277">
      <c r="K1277" s="651" t="n">
        <v>0.0146412037037037</v>
      </c>
      <c r="L1277" s="243" t="n"/>
      <c r="M1277" s="243" t="n"/>
    </row>
    <row r="1278">
      <c r="K1278" s="651" t="n">
        <v>0.01465277777777778</v>
      </c>
      <c r="L1278" s="243" t="n"/>
      <c r="M1278" s="243" t="n"/>
    </row>
    <row r="1279">
      <c r="K1279" s="651" t="n">
        <v>0.01466435185185185</v>
      </c>
      <c r="L1279" s="243" t="n"/>
      <c r="M1279" s="243" t="n"/>
    </row>
    <row r="1280">
      <c r="K1280" s="651" t="n">
        <v>0.01467592592592593</v>
      </c>
      <c r="L1280" s="243" t="n"/>
      <c r="M1280" s="243" t="n"/>
    </row>
    <row r="1281">
      <c r="K1281" s="651" t="n">
        <v>0.0146875</v>
      </c>
      <c r="L1281" s="243" t="n"/>
      <c r="M1281" s="243" t="n"/>
    </row>
    <row r="1282">
      <c r="K1282" s="651" t="n">
        <v>0.01469907407407407</v>
      </c>
      <c r="L1282" s="243" t="n"/>
      <c r="M1282" s="243" t="n"/>
    </row>
    <row r="1283">
      <c r="K1283" s="651" t="n">
        <v>0.01471064814814815</v>
      </c>
      <c r="L1283" s="243" t="n"/>
      <c r="M1283" s="243" t="n"/>
    </row>
    <row r="1284">
      <c r="K1284" s="651" t="n">
        <v>0.01472222222222222</v>
      </c>
      <c r="L1284" s="243" t="n"/>
      <c r="M1284" s="243" t="n"/>
    </row>
    <row r="1285">
      <c r="K1285" s="651" t="n">
        <v>0.0147337962962963</v>
      </c>
      <c r="L1285" s="243" t="n"/>
      <c r="M1285" s="243" t="n"/>
    </row>
    <row r="1286">
      <c r="K1286" s="651" t="n">
        <v>0.01474537037037037</v>
      </c>
      <c r="L1286" s="243" t="n"/>
      <c r="M1286" s="243" t="n"/>
    </row>
    <row r="1287">
      <c r="K1287" s="651" t="n">
        <v>0.01475694444444444</v>
      </c>
      <c r="L1287" s="243" t="n"/>
      <c r="M1287" s="243" t="n"/>
    </row>
    <row r="1288">
      <c r="K1288" s="651" t="n">
        <v>0.01476851851851852</v>
      </c>
      <c r="L1288" s="243" t="n"/>
      <c r="M1288" s="243" t="n"/>
    </row>
    <row r="1289">
      <c r="K1289" s="651" t="n">
        <v>0.01478009259259259</v>
      </c>
      <c r="L1289" s="243" t="n"/>
      <c r="M1289" s="243" t="n"/>
    </row>
    <row r="1290">
      <c r="K1290" s="651" t="n">
        <v>0.01479166666666667</v>
      </c>
      <c r="L1290" s="243" t="n"/>
      <c r="M1290" s="243" t="n"/>
    </row>
    <row r="1291">
      <c r="K1291" s="651" t="n">
        <v>0.01480324074074074</v>
      </c>
      <c r="L1291" s="243" t="n"/>
      <c r="M1291" s="243" t="n"/>
    </row>
    <row r="1292">
      <c r="K1292" s="651" t="n">
        <v>0.01481481481481482</v>
      </c>
      <c r="L1292" s="243" t="n"/>
      <c r="M1292" s="243" t="n"/>
    </row>
    <row r="1293">
      <c r="K1293" s="651" t="n">
        <v>0.01482638888888889</v>
      </c>
      <c r="L1293" s="243" t="n"/>
      <c r="M1293" s="243" t="n"/>
    </row>
    <row r="1294">
      <c r="K1294" s="651" t="n">
        <v>0.01483796296296296</v>
      </c>
      <c r="L1294" s="243" t="n"/>
      <c r="M1294" s="243" t="n"/>
    </row>
    <row r="1295">
      <c r="K1295" s="651" t="n">
        <v>0.01484953703703704</v>
      </c>
      <c r="L1295" s="243" t="n"/>
      <c r="M1295" s="243" t="n"/>
    </row>
    <row r="1296">
      <c r="K1296" s="651" t="n">
        <v>0.01486111111111111</v>
      </c>
      <c r="L1296" s="243" t="n"/>
      <c r="M1296" s="243" t="n"/>
    </row>
    <row r="1297">
      <c r="K1297" s="651" t="n">
        <v>0.01487268518518518</v>
      </c>
      <c r="L1297" s="243" t="n"/>
      <c r="M1297" s="243" t="n"/>
    </row>
    <row r="1298">
      <c r="K1298" s="651" t="n">
        <v>0.01488425925925926</v>
      </c>
      <c r="L1298" s="243" t="n"/>
      <c r="M1298" s="243" t="n"/>
    </row>
    <row r="1299">
      <c r="K1299" s="651" t="n">
        <v>0.01489583333333333</v>
      </c>
      <c r="L1299" s="243" t="n"/>
      <c r="M1299" s="243" t="n"/>
    </row>
    <row r="1300">
      <c r="K1300" s="651" t="n">
        <v>0.01490740740740741</v>
      </c>
      <c r="L1300" s="243" t="n"/>
      <c r="M1300" s="243" t="n"/>
    </row>
    <row r="1301">
      <c r="K1301" s="651" t="n">
        <v>0.01491898148148148</v>
      </c>
      <c r="L1301" s="243" t="n"/>
      <c r="M1301" s="243" t="n"/>
    </row>
    <row r="1302">
      <c r="K1302" s="651" t="n">
        <v>0.01493055555555556</v>
      </c>
      <c r="L1302" s="243" t="n"/>
      <c r="M1302" s="243" t="n"/>
    </row>
    <row r="1303">
      <c r="K1303" s="651" t="n">
        <v>0.01494212962962963</v>
      </c>
      <c r="L1303" s="243" t="n"/>
      <c r="M1303" s="243" t="n"/>
    </row>
    <row r="1304">
      <c r="K1304" s="651" t="n">
        <v>0.0149537037037037</v>
      </c>
      <c r="L1304" s="243" t="n"/>
      <c r="M1304" s="243" t="n"/>
    </row>
    <row r="1305">
      <c r="K1305" s="651" t="n">
        <v>0.01496527777777778</v>
      </c>
      <c r="L1305" s="243" t="n"/>
      <c r="M1305" s="243" t="n"/>
    </row>
    <row r="1306">
      <c r="K1306" s="651" t="n">
        <v>0.01497685185185185</v>
      </c>
      <c r="L1306" s="243" t="n"/>
      <c r="M1306" s="243" t="n"/>
    </row>
    <row r="1307">
      <c r="K1307" s="651" t="n">
        <v>0.01498842592592593</v>
      </c>
      <c r="L1307" s="243" t="n"/>
      <c r="M1307" s="243" t="n"/>
    </row>
    <row r="1308">
      <c r="K1308" s="651" t="n">
        <v>0.015</v>
      </c>
      <c r="L1308" s="243" t="n"/>
      <c r="M1308" s="243" t="n"/>
    </row>
    <row r="1309">
      <c r="K1309" s="651" t="n">
        <v>0.01501157407407407</v>
      </c>
      <c r="L1309" s="243" t="n"/>
      <c r="M1309" s="243" t="n"/>
    </row>
    <row r="1310">
      <c r="K1310" s="651" t="n">
        <v>0.01502314814814815</v>
      </c>
      <c r="L1310" s="243" t="n"/>
      <c r="M1310" s="243" t="n"/>
    </row>
    <row r="1311">
      <c r="K1311" s="651" t="n">
        <v>0.01503472222222222</v>
      </c>
      <c r="L1311" s="243" t="n"/>
      <c r="M1311" s="243" t="n"/>
    </row>
    <row r="1312">
      <c r="K1312" s="651" t="n">
        <v>0.0150462962962963</v>
      </c>
      <c r="L1312" s="243" t="n"/>
      <c r="M1312" s="243" t="n"/>
    </row>
    <row r="1313">
      <c r="K1313" s="651" t="n">
        <v>0.01505787037037037</v>
      </c>
      <c r="L1313" s="243" t="n"/>
      <c r="M1313" s="243" t="n"/>
    </row>
    <row r="1314">
      <c r="K1314" s="651" t="n">
        <v>0.01506944444444444</v>
      </c>
      <c r="L1314" s="243" t="n"/>
      <c r="M1314" s="243" t="n"/>
    </row>
    <row r="1315">
      <c r="K1315" s="651" t="n">
        <v>0.01508101851851852</v>
      </c>
      <c r="L1315" s="243" t="n"/>
      <c r="M1315" s="243" t="n"/>
    </row>
    <row r="1316">
      <c r="K1316" s="651" t="n">
        <v>0.01509259259259259</v>
      </c>
      <c r="L1316" s="243" t="n"/>
      <c r="M1316" s="243" t="n"/>
    </row>
    <row r="1317">
      <c r="K1317" s="651" t="n">
        <v>0.01510416666666667</v>
      </c>
      <c r="L1317" s="243" t="n"/>
      <c r="M1317" s="243" t="n"/>
    </row>
    <row r="1318">
      <c r="K1318" s="651" t="n">
        <v>0.01511574074074074</v>
      </c>
      <c r="L1318" s="243" t="n"/>
      <c r="M1318" s="243" t="n"/>
    </row>
    <row r="1319">
      <c r="K1319" s="651" t="n">
        <v>0.01512731481481482</v>
      </c>
      <c r="L1319" s="243" t="n"/>
      <c r="M1319" s="243" t="n"/>
    </row>
    <row r="1320">
      <c r="K1320" s="651" t="n">
        <v>0.01513888888888889</v>
      </c>
      <c r="L1320" s="243" t="n"/>
      <c r="M1320" s="243" t="n"/>
    </row>
    <row r="1321">
      <c r="K1321" s="651" t="n">
        <v>0.01515046296296296</v>
      </c>
      <c r="L1321" s="243" t="n"/>
      <c r="M1321" s="243" t="n"/>
    </row>
    <row r="1322">
      <c r="K1322" s="651" t="n">
        <v>0.01516203703703704</v>
      </c>
      <c r="L1322" s="243" t="n"/>
      <c r="M1322" s="243" t="n"/>
    </row>
    <row r="1323">
      <c r="K1323" s="651" t="n">
        <v>0.01517361111111111</v>
      </c>
      <c r="L1323" s="243" t="n"/>
      <c r="M1323" s="243" t="n"/>
    </row>
    <row r="1324">
      <c r="K1324" s="651" t="n">
        <v>0.01518518518518519</v>
      </c>
      <c r="L1324" s="243" t="n"/>
      <c r="M1324" s="243" t="n"/>
    </row>
    <row r="1325">
      <c r="K1325" s="651" t="n">
        <v>0.01519675925925926</v>
      </c>
      <c r="L1325" s="243" t="n"/>
      <c r="M1325" s="243" t="n"/>
    </row>
    <row r="1326">
      <c r="K1326" s="651" t="n">
        <v>0.01520833333333333</v>
      </c>
      <c r="L1326" s="243" t="n"/>
      <c r="M1326" s="243" t="n"/>
    </row>
    <row r="1327">
      <c r="K1327" s="651" t="n">
        <v>0.01521990740740741</v>
      </c>
      <c r="L1327" s="243" t="n"/>
      <c r="M1327" s="243" t="n"/>
    </row>
    <row r="1328">
      <c r="K1328" s="651" t="n">
        <v>0.01523148148148148</v>
      </c>
      <c r="L1328" s="243" t="n"/>
      <c r="M1328" s="243" t="n"/>
    </row>
    <row r="1329">
      <c r="K1329" s="651" t="n">
        <v>0.01524305555555555</v>
      </c>
      <c r="L1329" s="243" t="n"/>
      <c r="M1329" s="243" t="n"/>
    </row>
    <row r="1330">
      <c r="K1330" s="651" t="n">
        <v>0.01525462962962963</v>
      </c>
      <c r="L1330" s="243" t="n"/>
      <c r="M1330" s="243" t="n"/>
    </row>
    <row r="1331">
      <c r="K1331" s="651" t="n">
        <v>0.0152662037037037</v>
      </c>
      <c r="L1331" s="243" t="n"/>
      <c r="M1331" s="243" t="n"/>
    </row>
    <row r="1332">
      <c r="K1332" s="651" t="n">
        <v>0.01527777777777778</v>
      </c>
      <c r="L1332" s="243" t="n"/>
      <c r="M1332" s="243" t="n"/>
    </row>
    <row r="1333">
      <c r="K1333" s="651" t="n">
        <v>0.01528935185185185</v>
      </c>
      <c r="L1333" s="243" t="n"/>
      <c r="M1333" s="243" t="n"/>
    </row>
    <row r="1334">
      <c r="K1334" s="651" t="n">
        <v>0.01530092592592593</v>
      </c>
      <c r="L1334" s="243" t="n"/>
      <c r="M1334" s="243" t="n"/>
    </row>
    <row r="1335">
      <c r="K1335" s="651" t="n">
        <v>0.0153125</v>
      </c>
      <c r="L1335" s="243" t="n"/>
      <c r="M1335" s="243" t="n"/>
    </row>
    <row r="1336">
      <c r="K1336" s="651" t="n">
        <v>0.01532407407407407</v>
      </c>
      <c r="L1336" s="243" t="n"/>
      <c r="M1336" s="243" t="n"/>
    </row>
    <row r="1337">
      <c r="K1337" s="651" t="n">
        <v>0.01533564814814815</v>
      </c>
      <c r="L1337" s="243" t="n"/>
      <c r="M1337" s="243" t="n"/>
    </row>
    <row r="1338">
      <c r="K1338" s="651" t="n">
        <v>0.01534722222222222</v>
      </c>
      <c r="L1338" s="243" t="n"/>
      <c r="M1338" s="243" t="n"/>
    </row>
    <row r="1339">
      <c r="K1339" s="651" t="n">
        <v>0.0153587962962963</v>
      </c>
      <c r="L1339" s="243" t="n"/>
      <c r="M1339" s="243" t="n"/>
    </row>
    <row r="1340">
      <c r="K1340" s="651" t="n">
        <v>0.01537037037037037</v>
      </c>
      <c r="L1340" s="243" t="n"/>
      <c r="M1340" s="243" t="n"/>
    </row>
    <row r="1341">
      <c r="K1341" s="651" t="n">
        <v>0.01538194444444444</v>
      </c>
      <c r="L1341" s="243" t="n"/>
      <c r="M1341" s="243" t="n"/>
    </row>
    <row r="1342">
      <c r="K1342" s="651" t="n">
        <v>0.01539351851851852</v>
      </c>
      <c r="L1342" s="243" t="n"/>
      <c r="M1342" s="243" t="n"/>
    </row>
    <row r="1343">
      <c r="K1343" s="651" t="n">
        <v>0.01540509259259259</v>
      </c>
      <c r="L1343" s="243" t="n"/>
      <c r="M1343" s="243" t="n"/>
    </row>
    <row r="1344">
      <c r="K1344" s="651" t="n">
        <v>0.01541666666666667</v>
      </c>
      <c r="L1344" s="243" t="n"/>
      <c r="M1344" s="243" t="n"/>
    </row>
    <row r="1345">
      <c r="K1345" s="651" t="n">
        <v>0.01542824074074074</v>
      </c>
      <c r="L1345" s="243" t="n"/>
      <c r="M1345" s="243" t="n"/>
    </row>
    <row r="1346">
      <c r="K1346" s="651" t="n">
        <v>0.01543981481481481</v>
      </c>
      <c r="L1346" s="243" t="n"/>
      <c r="M1346" s="243" t="n"/>
    </row>
    <row r="1347">
      <c r="K1347" s="651" t="n">
        <v>0.01545138888888889</v>
      </c>
      <c r="L1347" s="243" t="n"/>
      <c r="M1347" s="243" t="n"/>
    </row>
    <row r="1348">
      <c r="K1348" s="651" t="n">
        <v>0.01546296296296296</v>
      </c>
      <c r="L1348" s="243" t="n"/>
      <c r="M1348" s="243" t="n"/>
    </row>
    <row r="1349">
      <c r="K1349" s="651" t="n">
        <v>0.01547453703703704</v>
      </c>
      <c r="L1349" s="243" t="n"/>
      <c r="M1349" s="243" t="n"/>
    </row>
    <row r="1350">
      <c r="K1350" s="651" t="n">
        <v>0.01548611111111111</v>
      </c>
      <c r="L1350" s="243" t="n"/>
      <c r="M1350" s="243" t="n"/>
    </row>
    <row r="1351">
      <c r="K1351" s="651" t="n">
        <v>0.01549768518518519</v>
      </c>
      <c r="L1351" s="243" t="n"/>
      <c r="M1351" s="243" t="n"/>
    </row>
    <row r="1352">
      <c r="K1352" s="651" t="n">
        <v>0.01550925925925926</v>
      </c>
      <c r="L1352" s="243" t="n"/>
      <c r="M1352" s="243" t="n"/>
    </row>
    <row r="1353">
      <c r="K1353" s="651" t="n">
        <v>0.01552083333333333</v>
      </c>
      <c r="L1353" s="243" t="n"/>
      <c r="M1353" s="243" t="n"/>
    </row>
    <row r="1354">
      <c r="K1354" s="651" t="n">
        <v>0.01553240740740741</v>
      </c>
      <c r="L1354" s="243" t="n"/>
      <c r="M1354" s="243" t="n"/>
    </row>
    <row r="1355">
      <c r="K1355" s="651" t="n">
        <v>0.01554398148148148</v>
      </c>
      <c r="L1355" s="243" t="n"/>
      <c r="M1355" s="243" t="n"/>
    </row>
    <row r="1356">
      <c r="K1356" s="651" t="n">
        <v>0.01555555555555556</v>
      </c>
      <c r="L1356" s="243" t="n"/>
      <c r="M1356" s="243" t="n"/>
    </row>
    <row r="1357">
      <c r="K1357" s="651" t="n">
        <v>0.01556712962962963</v>
      </c>
      <c r="L1357" s="243" t="n"/>
      <c r="M1357" s="243" t="n"/>
    </row>
    <row r="1358">
      <c r="K1358" s="651" t="n">
        <v>0.0155787037037037</v>
      </c>
      <c r="L1358" s="243" t="n"/>
      <c r="M1358" s="243" t="n"/>
    </row>
    <row r="1359">
      <c r="K1359" s="651" t="n">
        <v>0.01559027777777778</v>
      </c>
      <c r="L1359" s="243" t="n"/>
      <c r="M1359" s="243" t="n"/>
    </row>
    <row r="1360">
      <c r="K1360" s="651" t="n">
        <v>0.01560185185185185</v>
      </c>
      <c r="L1360" s="243" t="n"/>
      <c r="M1360" s="243" t="n"/>
    </row>
    <row r="1361">
      <c r="K1361" s="651" t="n">
        <v>0.01561342592592593</v>
      </c>
      <c r="L1361" s="243" t="n"/>
      <c r="M1361" s="243" t="n"/>
    </row>
    <row r="1362">
      <c r="K1362" s="651" t="n">
        <v>0.015625</v>
      </c>
      <c r="L1362" s="243" t="n"/>
      <c r="M1362" s="243" t="n"/>
    </row>
    <row r="1363">
      <c r="K1363" s="651" t="n">
        <v>0.01563657407407407</v>
      </c>
      <c r="L1363" s="243" t="n"/>
      <c r="M1363" s="243" t="n"/>
    </row>
    <row r="1364">
      <c r="K1364" s="651" t="n">
        <v>0.01564814814814815</v>
      </c>
      <c r="L1364" s="243" t="n"/>
      <c r="M1364" s="243" t="n"/>
    </row>
    <row r="1365">
      <c r="K1365" s="651" t="n">
        <v>0.01565972222222222</v>
      </c>
      <c r="L1365" s="243" t="n"/>
      <c r="M1365" s="243" t="n"/>
    </row>
    <row r="1366">
      <c r="K1366" s="651" t="n">
        <v>0.0156712962962963</v>
      </c>
      <c r="L1366" s="243" t="n"/>
      <c r="M1366" s="243" t="n"/>
    </row>
    <row r="1367">
      <c r="K1367" s="651" t="n">
        <v>0.01568287037037037</v>
      </c>
      <c r="L1367" s="243" t="n"/>
      <c r="M1367" s="243" t="n"/>
    </row>
    <row r="1368">
      <c r="K1368" s="651" t="n">
        <v>0.01569444444444444</v>
      </c>
      <c r="L1368" s="243" t="n"/>
      <c r="M1368" s="243" t="n"/>
    </row>
    <row r="1369">
      <c r="K1369" s="651" t="n">
        <v>0.01570601851851852</v>
      </c>
      <c r="L1369" s="243" t="n"/>
      <c r="M1369" s="243" t="n"/>
    </row>
    <row r="1370">
      <c r="K1370" s="651" t="n">
        <v>0.01571759259259259</v>
      </c>
      <c r="L1370" s="243" t="n"/>
      <c r="M1370" s="243" t="n"/>
    </row>
    <row r="1371">
      <c r="K1371" s="651" t="n">
        <v>0.01572916666666667</v>
      </c>
      <c r="L1371" s="243" t="n"/>
      <c r="M1371" s="243" t="n"/>
    </row>
    <row r="1372">
      <c r="K1372" s="651" t="n">
        <v>0.01574074074074074</v>
      </c>
      <c r="L1372" s="243" t="n"/>
      <c r="M1372" s="243" t="n"/>
    </row>
    <row r="1373">
      <c r="K1373" s="651" t="n">
        <v>0.01575231481481482</v>
      </c>
      <c r="L1373" s="243" t="n"/>
      <c r="M1373" s="243" t="n"/>
    </row>
    <row r="1374">
      <c r="K1374" s="651" t="n">
        <v>0.01576388888888889</v>
      </c>
      <c r="L1374" s="243" t="n"/>
      <c r="M1374" s="243" t="n"/>
    </row>
    <row r="1375">
      <c r="K1375" s="651" t="n">
        <v>0.01577546296296296</v>
      </c>
      <c r="L1375" s="243" t="n"/>
      <c r="M1375" s="243" t="n"/>
    </row>
    <row r="1376">
      <c r="K1376" s="651" t="n">
        <v>0.01578703703703704</v>
      </c>
      <c r="L1376" s="243" t="n"/>
      <c r="M1376" s="243" t="n"/>
    </row>
    <row r="1377">
      <c r="K1377" s="651" t="n">
        <v>0.01579861111111111</v>
      </c>
      <c r="L1377" s="243" t="n"/>
      <c r="M1377" s="243" t="n"/>
    </row>
    <row r="1378">
      <c r="K1378" s="651" t="n">
        <v>0.01581018518518518</v>
      </c>
      <c r="L1378" s="243" t="n"/>
      <c r="M1378" s="243" t="n"/>
    </row>
    <row r="1379">
      <c r="K1379" s="651" t="n">
        <v>0.01582175925925926</v>
      </c>
      <c r="L1379" s="243" t="n"/>
      <c r="M1379" s="243" t="n"/>
    </row>
    <row r="1380">
      <c r="K1380" s="651" t="n">
        <v>0.01583333333333333</v>
      </c>
      <c r="L1380" s="243" t="n"/>
      <c r="M1380" s="243" t="n"/>
    </row>
    <row r="1381">
      <c r="K1381" s="651" t="n">
        <v>0.01584490740740741</v>
      </c>
      <c r="L1381" s="243" t="n"/>
      <c r="M1381" s="243" t="n"/>
    </row>
    <row r="1382">
      <c r="K1382" s="651" t="n">
        <v>0.01585648148148148</v>
      </c>
      <c r="L1382" s="243" t="n"/>
      <c r="M1382" s="243" t="n"/>
    </row>
    <row r="1383">
      <c r="K1383" s="651" t="n">
        <v>0.01586805555555556</v>
      </c>
      <c r="L1383" s="243" t="n"/>
      <c r="M1383" s="243" t="n"/>
    </row>
    <row r="1384">
      <c r="K1384" s="651" t="n">
        <v>0.01587962962962963</v>
      </c>
      <c r="L1384" s="243" t="n"/>
      <c r="M1384" s="243" t="n"/>
    </row>
    <row r="1385">
      <c r="K1385" s="651" t="n">
        <v>0.0158912037037037</v>
      </c>
      <c r="L1385" s="243" t="n"/>
      <c r="M1385" s="243" t="n"/>
    </row>
    <row r="1386">
      <c r="K1386" s="651" t="n">
        <v>0.01590277777777778</v>
      </c>
      <c r="L1386" s="243" t="n"/>
      <c r="M1386" s="243" t="n"/>
    </row>
    <row r="1387">
      <c r="K1387" s="651" t="n">
        <v>0.01591435185185185</v>
      </c>
      <c r="L1387" s="243" t="n"/>
      <c r="M1387" s="243" t="n"/>
    </row>
    <row r="1388">
      <c r="K1388" s="651" t="n">
        <v>0.01592592592592593</v>
      </c>
      <c r="L1388" s="243" t="n"/>
      <c r="M1388" s="243" t="n"/>
    </row>
    <row r="1389">
      <c r="K1389" s="651" t="n">
        <v>0.0159375</v>
      </c>
      <c r="L1389" s="243" t="n"/>
      <c r="M1389" s="243" t="n"/>
    </row>
    <row r="1390">
      <c r="K1390" s="651" t="n">
        <v>0.01594907407407407</v>
      </c>
      <c r="L1390" s="243" t="n"/>
      <c r="M1390" s="243" t="n"/>
    </row>
    <row r="1391">
      <c r="K1391" s="651" t="n">
        <v>0.01596064814814815</v>
      </c>
      <c r="L1391" s="243" t="n"/>
      <c r="M1391" s="243" t="n"/>
    </row>
    <row r="1392">
      <c r="K1392" s="651" t="n">
        <v>0.01597222222222222</v>
      </c>
      <c r="L1392" s="243" t="n"/>
      <c r="M1392" s="243" t="n"/>
    </row>
    <row r="1393">
      <c r="K1393" s="651" t="n">
        <v>0.0159837962962963</v>
      </c>
      <c r="L1393" s="243" t="n"/>
      <c r="M1393" s="243" t="n"/>
    </row>
    <row r="1394">
      <c r="K1394" s="651" t="n">
        <v>0.01599537037037037</v>
      </c>
      <c r="L1394" s="243" t="n"/>
      <c r="M1394" s="243" t="n"/>
    </row>
    <row r="1395">
      <c r="K1395" s="651" t="n">
        <v>0.01600694444444445</v>
      </c>
      <c r="L1395" s="243" t="n"/>
      <c r="M1395" s="243" t="n"/>
    </row>
    <row r="1396">
      <c r="K1396" s="651" t="n">
        <v>0.01601851851851852</v>
      </c>
      <c r="L1396" s="243" t="n"/>
      <c r="M1396" s="243" t="n"/>
    </row>
    <row r="1397">
      <c r="K1397" s="651" t="n">
        <v>0.01603009259259259</v>
      </c>
      <c r="L1397" s="243" t="n"/>
      <c r="M1397" s="243" t="n"/>
    </row>
    <row r="1398">
      <c r="K1398" s="651" t="n">
        <v>0.01604166666666667</v>
      </c>
      <c r="L1398" s="243" t="n"/>
      <c r="M1398" s="243" t="n"/>
    </row>
    <row r="1399">
      <c r="K1399" s="651" t="n">
        <v>0.01605324074074074</v>
      </c>
      <c r="L1399" s="243" t="n"/>
      <c r="M1399" s="243" t="n"/>
    </row>
    <row r="1400">
      <c r="K1400" s="651" t="n">
        <v>0.01606481481481482</v>
      </c>
      <c r="L1400" s="243" t="n"/>
      <c r="M1400" s="243" t="n"/>
    </row>
    <row r="1401">
      <c r="K1401" s="651" t="n">
        <v>0.01607638888888889</v>
      </c>
      <c r="L1401" s="243" t="n"/>
      <c r="M1401" s="243" t="n"/>
    </row>
    <row r="1402">
      <c r="K1402" s="651" t="n">
        <v>0.01608796296296296</v>
      </c>
      <c r="L1402" s="243" t="n"/>
      <c r="M1402" s="243" t="n"/>
    </row>
    <row r="1403">
      <c r="K1403" s="651" t="n">
        <v>0.01609953703703704</v>
      </c>
      <c r="L1403" s="243" t="n"/>
      <c r="M1403" s="243" t="n"/>
    </row>
    <row r="1404">
      <c r="K1404" s="651" t="n">
        <v>0.01611111111111111</v>
      </c>
      <c r="L1404" s="243" t="n"/>
      <c r="M1404" s="243" t="n"/>
    </row>
    <row r="1405">
      <c r="K1405" s="651" t="n">
        <v>0.01612268518518518</v>
      </c>
      <c r="L1405" s="243" t="n"/>
      <c r="M1405" s="243" t="n"/>
    </row>
    <row r="1406">
      <c r="K1406" s="651" t="n">
        <v>0.01613425925925926</v>
      </c>
      <c r="L1406" s="243" t="n"/>
      <c r="M1406" s="243" t="n"/>
    </row>
    <row r="1407">
      <c r="K1407" s="651" t="n">
        <v>0.01614583333333333</v>
      </c>
      <c r="L1407" s="243" t="n"/>
      <c r="M1407" s="243" t="n"/>
    </row>
    <row r="1408">
      <c r="K1408" s="651" t="n">
        <v>0.01615740740740741</v>
      </c>
      <c r="L1408" s="243" t="n"/>
      <c r="M1408" s="243" t="n"/>
    </row>
    <row r="1409">
      <c r="K1409" s="651" t="n">
        <v>0.01616898148148148</v>
      </c>
      <c r="L1409" s="243" t="n"/>
      <c r="M1409" s="243" t="n"/>
    </row>
    <row r="1410">
      <c r="K1410" s="651" t="n">
        <v>0.01618055555555556</v>
      </c>
      <c r="L1410" s="243" t="n"/>
      <c r="M1410" s="243" t="n"/>
    </row>
    <row r="1411">
      <c r="K1411" s="651" t="n">
        <v>0.01619212962962963</v>
      </c>
      <c r="L1411" s="243" t="n"/>
      <c r="M1411" s="243" t="n"/>
    </row>
    <row r="1412">
      <c r="K1412" s="651" t="n">
        <v>0.0162037037037037</v>
      </c>
      <c r="L1412" s="243" t="n"/>
      <c r="M1412" s="243" t="n"/>
    </row>
    <row r="1413">
      <c r="K1413" s="651" t="n">
        <v>0.01621527777777778</v>
      </c>
      <c r="L1413" s="243" t="n"/>
      <c r="M1413" s="243" t="n"/>
    </row>
    <row r="1414">
      <c r="K1414" s="651" t="n">
        <v>0.01622685185185185</v>
      </c>
      <c r="L1414" s="243" t="n"/>
      <c r="M1414" s="243" t="n"/>
    </row>
    <row r="1415">
      <c r="K1415" s="651" t="n">
        <v>0.01623842592592593</v>
      </c>
      <c r="L1415" s="243" t="n"/>
      <c r="M1415" s="243" t="n"/>
    </row>
    <row r="1416">
      <c r="K1416" s="651" t="n">
        <v>0.01625</v>
      </c>
      <c r="L1416" s="243" t="n"/>
      <c r="M1416" s="243" t="n"/>
    </row>
    <row r="1417">
      <c r="K1417" s="651" t="n">
        <v>0.01626157407407407</v>
      </c>
      <c r="L1417" s="243" t="n"/>
      <c r="M1417" s="243" t="n"/>
    </row>
    <row r="1418">
      <c r="K1418" s="651" t="n">
        <v>0.01627314814814815</v>
      </c>
      <c r="L1418" s="243" t="n"/>
      <c r="M1418" s="243" t="n"/>
    </row>
    <row r="1419">
      <c r="K1419" s="651" t="n">
        <v>0.01628472222222222</v>
      </c>
      <c r="L1419" s="243" t="n"/>
      <c r="M1419" s="243" t="n"/>
    </row>
    <row r="1420">
      <c r="K1420" s="651" t="n">
        <v>0.01629629629629629</v>
      </c>
      <c r="L1420" s="243" t="n"/>
      <c r="M1420" s="243" t="n"/>
    </row>
    <row r="1421">
      <c r="K1421" s="651" t="n">
        <v>0.01630787037037037</v>
      </c>
      <c r="L1421" s="243" t="n"/>
      <c r="M1421" s="243" t="n"/>
    </row>
    <row r="1422">
      <c r="K1422" s="651" t="n">
        <v>0.01631944444444445</v>
      </c>
      <c r="L1422" s="243" t="n"/>
      <c r="M1422" s="243" t="n"/>
    </row>
    <row r="1423">
      <c r="K1423" s="651" t="n">
        <v>0.01633101851851852</v>
      </c>
      <c r="L1423" s="243" t="n"/>
      <c r="M1423" s="243" t="n"/>
    </row>
    <row r="1424">
      <c r="K1424" s="651" t="n">
        <v>0.01634259259259259</v>
      </c>
      <c r="L1424" s="243" t="n"/>
      <c r="M1424" s="243" t="n"/>
    </row>
    <row r="1425">
      <c r="K1425" s="651" t="n">
        <v>0.01635416666666667</v>
      </c>
      <c r="L1425" s="243" t="n"/>
      <c r="M1425" s="243" t="n"/>
    </row>
    <row r="1426">
      <c r="K1426" s="651" t="n">
        <v>0.01636574074074074</v>
      </c>
      <c r="L1426" s="243" t="n"/>
      <c r="M1426" s="243" t="n"/>
    </row>
    <row r="1427">
      <c r="K1427" s="651" t="n">
        <v>0.01637731481481481</v>
      </c>
      <c r="L1427" s="243" t="n"/>
      <c r="M1427" s="243" t="n"/>
    </row>
    <row r="1428">
      <c r="K1428" s="651" t="n">
        <v>0.01638888888888889</v>
      </c>
      <c r="L1428" s="243" t="n"/>
      <c r="M1428" s="243" t="n"/>
    </row>
    <row r="1429">
      <c r="K1429" s="651" t="n">
        <v>0.01640046296296296</v>
      </c>
      <c r="L1429" s="243" t="n"/>
      <c r="M1429" s="243" t="n"/>
    </row>
    <row r="1430">
      <c r="K1430" s="651" t="n">
        <v>0.01641203703703704</v>
      </c>
      <c r="L1430" s="243" t="n"/>
      <c r="M1430" s="243" t="n"/>
    </row>
    <row r="1431">
      <c r="K1431" s="651" t="n">
        <v>0.01642361111111111</v>
      </c>
      <c r="L1431" s="243" t="n"/>
      <c r="M1431" s="243" t="n"/>
    </row>
    <row r="1432">
      <c r="K1432" s="651" t="n">
        <v>0.01643518518518518</v>
      </c>
      <c r="L1432" s="243" t="n"/>
      <c r="M1432" s="243" t="n"/>
    </row>
    <row r="1433">
      <c r="K1433" s="651" t="n">
        <v>0.01644675925925926</v>
      </c>
      <c r="L1433" s="243" t="n"/>
      <c r="M1433" s="243" t="n"/>
    </row>
    <row r="1434">
      <c r="K1434" s="651" t="n">
        <v>0.01645833333333333</v>
      </c>
      <c r="L1434" s="243" t="n"/>
      <c r="M1434" s="243" t="n"/>
    </row>
    <row r="1435">
      <c r="K1435" s="651" t="n">
        <v>0.01646990740740741</v>
      </c>
      <c r="L1435" s="243" t="n"/>
      <c r="M1435" s="243" t="n"/>
    </row>
    <row r="1436">
      <c r="K1436" s="651" t="n">
        <v>0.01648148148148148</v>
      </c>
      <c r="L1436" s="243" t="n"/>
      <c r="M1436" s="243" t="n"/>
    </row>
    <row r="1437">
      <c r="K1437" s="651" t="n">
        <v>0.01649305555555556</v>
      </c>
      <c r="L1437" s="243" t="n"/>
      <c r="M1437" s="243" t="n"/>
    </row>
    <row r="1438">
      <c r="K1438" s="651" t="n">
        <v>0.01650462962962963</v>
      </c>
      <c r="L1438" s="243" t="n"/>
      <c r="M1438" s="243" t="n"/>
    </row>
    <row r="1439">
      <c r="K1439" s="651" t="n">
        <v>0.0165162037037037</v>
      </c>
      <c r="L1439" s="243" t="n"/>
      <c r="M1439" s="243" t="n"/>
    </row>
    <row r="1440">
      <c r="K1440" s="651" t="n">
        <v>0.01652777777777778</v>
      </c>
      <c r="L1440" s="243" t="n"/>
      <c r="M1440" s="243" t="n"/>
    </row>
    <row r="1441">
      <c r="K1441" s="651" t="n">
        <v>0.01653935185185185</v>
      </c>
      <c r="L1441" s="243" t="n"/>
      <c r="M1441" s="243" t="n"/>
    </row>
    <row r="1442">
      <c r="K1442" s="651" t="n">
        <v>0.01655092592592593</v>
      </c>
      <c r="L1442" s="243" t="n"/>
      <c r="M1442" s="243" t="n"/>
    </row>
    <row r="1443">
      <c r="K1443" s="651" t="n">
        <v>0.0165625</v>
      </c>
      <c r="L1443" s="243" t="n"/>
      <c r="M1443" s="243" t="n"/>
    </row>
    <row r="1444">
      <c r="K1444" s="651" t="n">
        <v>0.01657407407407407</v>
      </c>
      <c r="L1444" s="243" t="n"/>
      <c r="M1444" s="243" t="n"/>
    </row>
    <row r="1445">
      <c r="K1445" s="651" t="n">
        <v>0.01658564814814815</v>
      </c>
      <c r="L1445" s="243" t="n"/>
      <c r="M1445" s="243" t="n"/>
    </row>
    <row r="1446">
      <c r="K1446" s="651" t="n">
        <v>0.01659722222222222</v>
      </c>
      <c r="L1446" s="243" t="n"/>
      <c r="M1446" s="243" t="n"/>
    </row>
    <row r="1447">
      <c r="K1447" s="651" t="n">
        <v>0.0166087962962963</v>
      </c>
      <c r="L1447" s="243" t="n"/>
      <c r="M1447" s="243" t="n"/>
    </row>
    <row r="1448">
      <c r="K1448" s="651" t="n">
        <v>0.01662037037037037</v>
      </c>
      <c r="L1448" s="243" t="n"/>
      <c r="M1448" s="243" t="n"/>
    </row>
    <row r="1449">
      <c r="K1449" s="651" t="n">
        <v>0.01663194444444445</v>
      </c>
      <c r="L1449" s="243" t="n"/>
      <c r="M1449" s="243" t="n"/>
    </row>
    <row r="1450">
      <c r="K1450" s="651" t="n">
        <v>0.01664351851851852</v>
      </c>
      <c r="L1450" s="243" t="n"/>
      <c r="M1450" s="243" t="n"/>
    </row>
    <row r="1451">
      <c r="K1451" s="651" t="n">
        <v>0.01665509259259259</v>
      </c>
      <c r="L1451" s="243" t="n"/>
      <c r="M1451" s="243" t="n"/>
    </row>
    <row r="1452">
      <c r="K1452" s="651" t="n">
        <v>0.01666666666666667</v>
      </c>
      <c r="L1452" s="243" t="n"/>
      <c r="M1452" s="243" t="n"/>
    </row>
    <row r="1453">
      <c r="K1453" s="651" t="n">
        <v>0.01667824074074074</v>
      </c>
      <c r="L1453" s="243" t="n"/>
      <c r="M1453" s="243" t="n"/>
    </row>
    <row r="1454">
      <c r="K1454" s="651" t="n">
        <v>0.01668981481481481</v>
      </c>
      <c r="L1454" s="243" t="n"/>
      <c r="M1454" s="243" t="n"/>
    </row>
    <row r="1455">
      <c r="K1455" s="651" t="n">
        <v>0.01670138888888889</v>
      </c>
      <c r="L1455" s="243" t="n"/>
      <c r="M1455" s="243" t="n"/>
    </row>
    <row r="1456">
      <c r="K1456" s="651" t="n">
        <v>0.01671296296296296</v>
      </c>
      <c r="L1456" s="243" t="n"/>
      <c r="M1456" s="243" t="n"/>
    </row>
    <row r="1457">
      <c r="K1457" s="651" t="n">
        <v>0.01672453703703704</v>
      </c>
      <c r="L1457" s="243" t="n"/>
      <c r="M1457" s="243" t="n"/>
    </row>
    <row r="1458">
      <c r="K1458" s="651" t="n">
        <v>0.01673611111111111</v>
      </c>
      <c r="L1458" s="243" t="n"/>
      <c r="M1458" s="243" t="n"/>
    </row>
    <row r="1459">
      <c r="K1459" s="651" t="n">
        <v>0.01674768518518518</v>
      </c>
      <c r="L1459" s="243" t="n"/>
      <c r="M1459" s="243" t="n"/>
    </row>
    <row r="1460">
      <c r="K1460" s="651" t="n">
        <v>0.01675925925925926</v>
      </c>
      <c r="L1460" s="243" t="n"/>
      <c r="M1460" s="243" t="n"/>
    </row>
    <row r="1461">
      <c r="K1461" s="651" t="n">
        <v>0.01677083333333333</v>
      </c>
      <c r="L1461" s="243" t="n"/>
      <c r="M1461" s="243" t="n"/>
    </row>
    <row r="1462">
      <c r="K1462" s="651" t="n">
        <v>0.01678240740740741</v>
      </c>
      <c r="L1462" s="243" t="n"/>
      <c r="M1462" s="243" t="n"/>
    </row>
    <row r="1463">
      <c r="K1463" s="651" t="n">
        <v>0.01679398148148148</v>
      </c>
      <c r="L1463" s="243" t="n"/>
      <c r="M1463" s="243" t="n"/>
    </row>
    <row r="1464">
      <c r="K1464" s="651" t="n">
        <v>0.01680555555555556</v>
      </c>
      <c r="L1464" s="243" t="n"/>
      <c r="M1464" s="243" t="n"/>
    </row>
    <row r="1465">
      <c r="K1465" s="651" t="n">
        <v>0.01681712962962963</v>
      </c>
      <c r="L1465" s="243" t="n"/>
      <c r="M1465" s="243" t="n"/>
    </row>
    <row r="1466">
      <c r="K1466" s="651" t="n">
        <v>0.0168287037037037</v>
      </c>
      <c r="L1466" s="243" t="n"/>
      <c r="M1466" s="243" t="n"/>
    </row>
    <row r="1467">
      <c r="K1467" s="651" t="n">
        <v>0.01684027777777778</v>
      </c>
      <c r="L1467" s="243" t="n"/>
      <c r="M1467" s="243" t="n"/>
    </row>
    <row r="1468">
      <c r="K1468" s="651" t="n">
        <v>0.01685185185185185</v>
      </c>
      <c r="L1468" s="243" t="n"/>
      <c r="M1468" s="243" t="n"/>
    </row>
    <row r="1469">
      <c r="K1469" s="651" t="n">
        <v>0.01686342592592593</v>
      </c>
      <c r="L1469" s="243" t="n"/>
      <c r="M1469" s="243" t="n"/>
    </row>
    <row r="1470">
      <c r="K1470" s="651" t="n">
        <v>0.016875</v>
      </c>
      <c r="L1470" s="243" t="n"/>
      <c r="M1470" s="243" t="n"/>
    </row>
    <row r="1471">
      <c r="K1471" s="651" t="n">
        <v>0.01688657407407407</v>
      </c>
      <c r="L1471" s="243" t="n"/>
      <c r="M1471" s="243" t="n"/>
    </row>
    <row r="1472">
      <c r="K1472" s="651" t="n">
        <v>0.01689814814814815</v>
      </c>
      <c r="L1472" s="243" t="n"/>
      <c r="M1472" s="243" t="n"/>
    </row>
    <row r="1473">
      <c r="K1473" s="651" t="n">
        <v>0.01690972222222222</v>
      </c>
      <c r="L1473" s="243" t="n"/>
      <c r="M1473" s="243" t="n"/>
    </row>
    <row r="1474">
      <c r="K1474" s="651" t="n">
        <v>0.0169212962962963</v>
      </c>
      <c r="L1474" s="243" t="n"/>
      <c r="M1474" s="243" t="n"/>
    </row>
    <row r="1475">
      <c r="K1475" s="651" t="n">
        <v>0.01693287037037037</v>
      </c>
      <c r="L1475" s="243" t="n"/>
      <c r="M1475" s="243" t="n"/>
    </row>
    <row r="1476">
      <c r="K1476" s="651" t="n">
        <v>0.01694444444444445</v>
      </c>
      <c r="L1476" s="243" t="n"/>
      <c r="M1476" s="243" t="n"/>
    </row>
    <row r="1477">
      <c r="K1477" s="651" t="n">
        <v>0.01695601851851852</v>
      </c>
      <c r="L1477" s="243" t="n"/>
      <c r="M1477" s="243" t="n"/>
    </row>
    <row r="1478">
      <c r="K1478" s="651" t="n">
        <v>0.01696759259259259</v>
      </c>
      <c r="L1478" s="243" t="n"/>
      <c r="M1478" s="243" t="n"/>
    </row>
    <row r="1479">
      <c r="K1479" s="651" t="n">
        <v>0.01697916666666667</v>
      </c>
      <c r="L1479" s="243" t="n"/>
      <c r="M1479" s="243" t="n"/>
    </row>
    <row r="1480">
      <c r="K1480" s="651" t="n">
        <v>0.01699074074074074</v>
      </c>
      <c r="L1480" s="243" t="n"/>
      <c r="M1480" s="243" t="n"/>
    </row>
    <row r="1481">
      <c r="K1481" s="651" t="n">
        <v>0.01700231481481481</v>
      </c>
      <c r="L1481" s="243" t="n"/>
      <c r="M1481" s="243" t="n"/>
    </row>
    <row r="1482">
      <c r="K1482" s="651" t="n">
        <v>0.01701388888888889</v>
      </c>
      <c r="L1482" s="243" t="n"/>
      <c r="M1482" s="243" t="n"/>
    </row>
    <row r="1483">
      <c r="K1483" s="651" t="n">
        <v>0.01702546296296296</v>
      </c>
      <c r="L1483" s="243" t="n"/>
      <c r="M1483" s="243" t="n"/>
    </row>
    <row r="1484">
      <c r="K1484" s="651" t="n">
        <v>0.01703703703703704</v>
      </c>
      <c r="L1484" s="243" t="n"/>
      <c r="M1484" s="243" t="n"/>
    </row>
    <row r="1485">
      <c r="K1485" s="651" t="n">
        <v>0.01704861111111111</v>
      </c>
      <c r="L1485" s="243" t="n"/>
      <c r="M1485" s="243" t="n"/>
    </row>
    <row r="1486">
      <c r="K1486" s="651" t="n">
        <v>0.01706018518518519</v>
      </c>
      <c r="L1486" s="243" t="n"/>
      <c r="M1486" s="243" t="n"/>
    </row>
    <row r="1487">
      <c r="K1487" s="651" t="n">
        <v>0.01707175925925926</v>
      </c>
      <c r="L1487" s="243" t="n"/>
      <c r="M1487" s="243" t="n"/>
    </row>
    <row r="1488">
      <c r="K1488" s="651" t="n">
        <v>0.01708333333333333</v>
      </c>
      <c r="L1488" s="243" t="n"/>
      <c r="M1488" s="243" t="n"/>
    </row>
    <row r="1489">
      <c r="K1489" s="651" t="n">
        <v>0.01709490740740741</v>
      </c>
      <c r="L1489" s="243" t="n"/>
      <c r="M1489" s="243" t="n"/>
    </row>
    <row r="1490">
      <c r="K1490" s="651" t="n">
        <v>0.01710648148148148</v>
      </c>
      <c r="L1490" s="243" t="n"/>
      <c r="M1490" s="243" t="n"/>
    </row>
    <row r="1491">
      <c r="K1491" s="651" t="n">
        <v>0.01711805555555556</v>
      </c>
      <c r="L1491" s="243" t="n"/>
      <c r="M1491" s="243" t="n"/>
    </row>
    <row r="1492">
      <c r="K1492" s="651" t="n">
        <v>0.01712962962962963</v>
      </c>
      <c r="L1492" s="243" t="n"/>
      <c r="M1492" s="243" t="n"/>
    </row>
    <row r="1493">
      <c r="K1493" s="651" t="n">
        <v>0.0171412037037037</v>
      </c>
      <c r="L1493" s="243" t="n"/>
      <c r="M1493" s="243" t="n"/>
    </row>
    <row r="1494">
      <c r="K1494" s="651" t="n">
        <v>0.01715277777777778</v>
      </c>
      <c r="L1494" s="243" t="n"/>
      <c r="M1494" s="243" t="n"/>
    </row>
    <row r="1495">
      <c r="K1495" s="651" t="n">
        <v>0.01716435185185185</v>
      </c>
      <c r="L1495" s="243" t="n"/>
      <c r="M1495" s="243" t="n"/>
    </row>
    <row r="1496">
      <c r="K1496" s="651" t="n">
        <v>0.01717592592592592</v>
      </c>
      <c r="L1496" s="243" t="n"/>
      <c r="M1496" s="243" t="n"/>
    </row>
    <row r="1497">
      <c r="K1497" s="651" t="n">
        <v>0.0171875</v>
      </c>
      <c r="L1497" s="243" t="n"/>
      <c r="M1497" s="243" t="n"/>
    </row>
    <row r="1498">
      <c r="K1498" s="651" t="n">
        <v>0.01719907407407407</v>
      </c>
      <c r="L1498" s="243" t="n"/>
      <c r="M1498" s="243" t="n"/>
    </row>
    <row r="1499">
      <c r="K1499" s="651" t="n">
        <v>0.01721064814814815</v>
      </c>
      <c r="L1499" s="243" t="n"/>
      <c r="M1499" s="243" t="n"/>
    </row>
    <row r="1500">
      <c r="K1500" s="651" t="n">
        <v>0.01722222222222222</v>
      </c>
      <c r="L1500" s="243" t="n"/>
      <c r="M1500" s="243" t="n"/>
    </row>
    <row r="1501">
      <c r="K1501" s="651" t="n">
        <v>0.0172337962962963</v>
      </c>
      <c r="L1501" s="243" t="n"/>
      <c r="M1501" s="243" t="n"/>
    </row>
    <row r="1502">
      <c r="K1502" s="651" t="n">
        <v>0.01724537037037037</v>
      </c>
      <c r="L1502" s="243" t="n"/>
      <c r="M1502" s="243" t="n"/>
    </row>
    <row r="1503">
      <c r="K1503" s="651" t="n">
        <v>0.01725694444444444</v>
      </c>
      <c r="L1503" s="243" t="n"/>
      <c r="M1503" s="243" t="n"/>
    </row>
    <row r="1504">
      <c r="K1504" s="651" t="n">
        <v>0.01726851851851852</v>
      </c>
      <c r="L1504" s="243" t="n"/>
      <c r="M1504" s="243" t="n"/>
    </row>
    <row r="1505">
      <c r="K1505" s="651" t="n">
        <v>0.01728009259259259</v>
      </c>
      <c r="L1505" s="243" t="n"/>
      <c r="M1505" s="243" t="n"/>
    </row>
    <row r="1506">
      <c r="K1506" s="651" t="n">
        <v>0.01729166666666667</v>
      </c>
      <c r="L1506" s="243" t="n"/>
      <c r="M1506" s="243" t="n"/>
    </row>
    <row r="1507">
      <c r="K1507" s="651" t="n">
        <v>0.01730324074074074</v>
      </c>
      <c r="L1507" s="243" t="n"/>
      <c r="M1507" s="243" t="n"/>
    </row>
    <row r="1508">
      <c r="K1508" s="651" t="n">
        <v>0.01731481481481481</v>
      </c>
      <c r="L1508" s="243" t="n"/>
      <c r="M1508" s="243" t="n"/>
    </row>
    <row r="1509">
      <c r="K1509" s="651" t="n">
        <v>0.01732638888888889</v>
      </c>
      <c r="L1509" s="243" t="n"/>
      <c r="M1509" s="243" t="n"/>
    </row>
    <row r="1510">
      <c r="K1510" s="651" t="n">
        <v>0.01733796296296296</v>
      </c>
      <c r="L1510" s="243" t="n"/>
      <c r="M1510" s="243" t="n"/>
    </row>
    <row r="1511">
      <c r="K1511" s="651" t="n">
        <v>0.01734953703703704</v>
      </c>
      <c r="L1511" s="243" t="n"/>
      <c r="M1511" s="243" t="n"/>
    </row>
    <row r="1512">
      <c r="K1512" s="651" t="n">
        <v>0.01736111111111111</v>
      </c>
      <c r="L1512" s="243" t="n"/>
      <c r="M1512" s="243" t="n"/>
    </row>
    <row r="1513">
      <c r="K1513" s="651" t="n">
        <v>0.01737268518518519</v>
      </c>
      <c r="L1513" s="243" t="n"/>
      <c r="M1513" s="243" t="n"/>
    </row>
    <row r="1514">
      <c r="K1514" s="651" t="n">
        <v>0.01738425925925926</v>
      </c>
      <c r="L1514" s="243" t="n"/>
      <c r="M1514" s="243" t="n"/>
    </row>
    <row r="1515">
      <c r="K1515" s="651" t="n">
        <v>0.01739583333333333</v>
      </c>
      <c r="L1515" s="243" t="n"/>
      <c r="M1515" s="243" t="n"/>
    </row>
    <row r="1516">
      <c r="K1516" s="651" t="n">
        <v>0.01740740740740741</v>
      </c>
      <c r="L1516" s="243" t="n"/>
      <c r="M1516" s="243" t="n"/>
    </row>
    <row r="1517">
      <c r="K1517" s="651" t="n">
        <v>0.01741898148148148</v>
      </c>
      <c r="L1517" s="243" t="n"/>
      <c r="M1517" s="243" t="n"/>
    </row>
    <row r="1518">
      <c r="K1518" s="651" t="n">
        <v>0.01743055555555556</v>
      </c>
      <c r="L1518" s="243" t="n"/>
      <c r="M1518" s="243" t="n"/>
    </row>
    <row r="1519">
      <c r="K1519" s="651" t="n">
        <v>0.01744212962962963</v>
      </c>
      <c r="L1519" s="243" t="n"/>
      <c r="M1519" s="243" t="n"/>
    </row>
    <row r="1520">
      <c r="K1520" s="651" t="n">
        <v>0.0174537037037037</v>
      </c>
      <c r="L1520" s="243" t="n"/>
      <c r="M1520" s="243" t="n"/>
    </row>
    <row r="1521">
      <c r="K1521" s="651" t="n">
        <v>0.01746527777777778</v>
      </c>
      <c r="L1521" s="243" t="n"/>
      <c r="M1521" s="243" t="n"/>
    </row>
    <row r="1522">
      <c r="K1522" s="651" t="n">
        <v>0.01747685185185185</v>
      </c>
      <c r="L1522" s="243" t="n"/>
      <c r="M1522" s="243" t="n"/>
    </row>
    <row r="1523">
      <c r="K1523" s="651" t="n">
        <v>0.01748842592592592</v>
      </c>
      <c r="L1523" s="243" t="n"/>
      <c r="M1523" s="243" t="n"/>
    </row>
    <row r="1524">
      <c r="K1524" s="651" t="n">
        <v>0.0175</v>
      </c>
      <c r="L1524" s="243" t="n"/>
      <c r="M1524" s="243" t="n"/>
    </row>
    <row r="1525">
      <c r="K1525" s="651" t="n">
        <v>0.01751157407407408</v>
      </c>
      <c r="L1525" s="243" t="n"/>
      <c r="M1525" s="243" t="n"/>
    </row>
    <row r="1526">
      <c r="K1526" s="651" t="n">
        <v>0.01752314814814815</v>
      </c>
      <c r="L1526" s="243" t="n"/>
      <c r="M1526" s="243" t="n"/>
    </row>
    <row r="1527">
      <c r="K1527" s="651" t="n">
        <v>0.01753472222222222</v>
      </c>
      <c r="L1527" s="243" t="n"/>
      <c r="M1527" s="243" t="n"/>
    </row>
    <row r="1528">
      <c r="K1528" s="651" t="n">
        <v>0.0175462962962963</v>
      </c>
      <c r="L1528" s="243" t="n"/>
      <c r="M1528" s="243" t="n"/>
    </row>
    <row r="1529">
      <c r="K1529" s="651" t="n">
        <v>0.01755787037037037</v>
      </c>
      <c r="L1529" s="243" t="n"/>
      <c r="M1529" s="243" t="n"/>
    </row>
    <row r="1530">
      <c r="K1530" s="651" t="n">
        <v>0.01756944444444444</v>
      </c>
      <c r="L1530" s="243" t="n"/>
      <c r="M1530" s="243" t="n"/>
    </row>
    <row r="1531">
      <c r="K1531" s="651" t="n">
        <v>0.01758101851851852</v>
      </c>
      <c r="L1531" s="243" t="n"/>
      <c r="M1531" s="243" t="n"/>
    </row>
    <row r="1532">
      <c r="K1532" s="651" t="n">
        <v>0.01759259259259259</v>
      </c>
      <c r="L1532" s="243" t="n"/>
      <c r="M1532" s="243" t="n"/>
    </row>
    <row r="1533">
      <c r="K1533" s="651" t="n">
        <v>0.01760416666666667</v>
      </c>
      <c r="L1533" s="243" t="n"/>
      <c r="M1533" s="243" t="n"/>
    </row>
    <row r="1534">
      <c r="K1534" s="651" t="n">
        <v>0.01761574074074074</v>
      </c>
      <c r="L1534" s="243" t="n"/>
      <c r="M1534" s="243" t="n"/>
    </row>
    <row r="1535">
      <c r="K1535" s="651" t="n">
        <v>0.01762731481481481</v>
      </c>
      <c r="L1535" s="243" t="n"/>
      <c r="M1535" s="243" t="n"/>
    </row>
    <row r="1536">
      <c r="K1536" s="651" t="n">
        <v>0.01763888888888889</v>
      </c>
      <c r="L1536" s="243" t="n"/>
      <c r="M1536" s="243" t="n"/>
    </row>
    <row r="1537">
      <c r="K1537" s="651" t="n">
        <v>0.01765046296296296</v>
      </c>
      <c r="L1537" s="243" t="n"/>
      <c r="M1537" s="243" t="n"/>
    </row>
    <row r="1538">
      <c r="K1538" s="651" t="n">
        <v>0.01766203703703704</v>
      </c>
      <c r="L1538" s="243" t="n"/>
      <c r="M1538" s="243" t="n"/>
    </row>
    <row r="1539">
      <c r="K1539" s="651" t="n">
        <v>0.01767361111111111</v>
      </c>
      <c r="L1539" s="243" t="n"/>
      <c r="M1539" s="243" t="n"/>
    </row>
    <row r="1540">
      <c r="K1540" s="651" t="n">
        <v>0.01768518518518519</v>
      </c>
      <c r="L1540" s="243" t="n"/>
      <c r="M1540" s="243" t="n"/>
    </row>
    <row r="1541">
      <c r="K1541" s="651" t="n">
        <v>0.01769675925925926</v>
      </c>
      <c r="L1541" s="243" t="n"/>
      <c r="M1541" s="243" t="n"/>
    </row>
    <row r="1542">
      <c r="K1542" s="651" t="n">
        <v>0.01770833333333333</v>
      </c>
      <c r="L1542" s="243" t="n"/>
      <c r="M1542" s="243" t="n"/>
    </row>
    <row r="1543">
      <c r="K1543" s="651" t="n">
        <v>0.01771990740740741</v>
      </c>
      <c r="L1543" s="243" t="n"/>
      <c r="M1543" s="243" t="n"/>
    </row>
    <row r="1544">
      <c r="K1544" s="651" t="n">
        <v>0.01773148148148148</v>
      </c>
      <c r="L1544" s="243" t="n"/>
      <c r="M1544" s="243" t="n"/>
    </row>
    <row r="1545">
      <c r="K1545" s="651" t="n">
        <v>0.01774305555555556</v>
      </c>
      <c r="L1545" s="243" t="n"/>
      <c r="M1545" s="243" t="n"/>
    </row>
    <row r="1546">
      <c r="K1546" s="651" t="n">
        <v>0.01775462962962963</v>
      </c>
      <c r="L1546" s="243" t="n"/>
      <c r="M1546" s="243" t="n"/>
    </row>
    <row r="1547">
      <c r="K1547" s="651" t="n">
        <v>0.0177662037037037</v>
      </c>
      <c r="L1547" s="243" t="n"/>
      <c r="M1547" s="243" t="n"/>
    </row>
    <row r="1548">
      <c r="K1548" s="651" t="n">
        <v>0.01777777777777778</v>
      </c>
      <c r="L1548" s="243" t="n"/>
      <c r="M1548" s="243" t="n"/>
    </row>
    <row r="1549">
      <c r="K1549" s="651" t="n">
        <v>0.01778935185185185</v>
      </c>
      <c r="L1549" s="243" t="n"/>
      <c r="M1549" s="243" t="n"/>
    </row>
    <row r="1550">
      <c r="K1550" s="651" t="n">
        <v>0.01780092592592592</v>
      </c>
      <c r="L1550" s="243" t="n"/>
      <c r="M1550" s="243" t="n"/>
    </row>
    <row r="1551">
      <c r="K1551" s="651" t="n">
        <v>0.0178125</v>
      </c>
      <c r="L1551" s="243" t="n"/>
      <c r="M1551" s="243" t="n"/>
    </row>
    <row r="1552">
      <c r="K1552" s="651" t="n">
        <v>0.01782407407407408</v>
      </c>
      <c r="L1552" s="243" t="n"/>
      <c r="M1552" s="243" t="n"/>
    </row>
    <row r="1553">
      <c r="K1553" s="651" t="n">
        <v>0.01783564814814815</v>
      </c>
      <c r="L1553" s="243" t="n"/>
      <c r="M1553" s="243" t="n"/>
    </row>
    <row r="1554">
      <c r="K1554" s="651" t="n">
        <v>0.01784722222222222</v>
      </c>
      <c r="L1554" s="243" t="n"/>
      <c r="M1554" s="243" t="n"/>
    </row>
    <row r="1555">
      <c r="K1555" s="651" t="n">
        <v>0.0178587962962963</v>
      </c>
      <c r="L1555" s="243" t="n"/>
      <c r="M1555" s="243" t="n"/>
    </row>
    <row r="1556">
      <c r="K1556" s="651" t="n">
        <v>0.01787037037037037</v>
      </c>
      <c r="L1556" s="243" t="n"/>
      <c r="M1556" s="243" t="n"/>
    </row>
    <row r="1557">
      <c r="K1557" s="651" t="n">
        <v>0.01788194444444444</v>
      </c>
      <c r="L1557" s="243" t="n"/>
      <c r="M1557" s="243" t="n"/>
    </row>
    <row r="1558">
      <c r="K1558" s="651" t="n">
        <v>0.01789351851851852</v>
      </c>
      <c r="L1558" s="243" t="n"/>
      <c r="M1558" s="243" t="n"/>
    </row>
    <row r="1559">
      <c r="K1559" s="651" t="n">
        <v>0.01790509259259259</v>
      </c>
      <c r="L1559" s="243" t="n"/>
      <c r="M1559" s="243" t="n"/>
    </row>
    <row r="1560">
      <c r="K1560" s="651" t="n">
        <v>0.01791666666666667</v>
      </c>
      <c r="L1560" s="243" t="n"/>
      <c r="M1560" s="243" t="n"/>
    </row>
    <row r="1561">
      <c r="K1561" s="651" t="n">
        <v>0.01792824074074074</v>
      </c>
      <c r="L1561" s="243" t="n"/>
      <c r="M1561" s="243" t="n"/>
    </row>
    <row r="1562">
      <c r="K1562" s="651" t="n">
        <v>0.01793981481481481</v>
      </c>
      <c r="L1562" s="243" t="n"/>
      <c r="M1562" s="243" t="n"/>
    </row>
    <row r="1563">
      <c r="K1563" s="651" t="n">
        <v>0.01795138888888889</v>
      </c>
      <c r="L1563" s="243" t="n"/>
      <c r="M1563" s="243" t="n"/>
    </row>
    <row r="1564">
      <c r="K1564" s="651" t="n">
        <v>0.01796296296296296</v>
      </c>
      <c r="L1564" s="243" t="n"/>
      <c r="M1564" s="243" t="n"/>
    </row>
    <row r="1565">
      <c r="K1565" s="651" t="n">
        <v>0.01797453703703704</v>
      </c>
      <c r="L1565" s="243" t="n"/>
      <c r="M1565" s="243" t="n"/>
    </row>
    <row r="1566">
      <c r="K1566" s="651" t="n">
        <v>0.01798611111111111</v>
      </c>
      <c r="L1566" s="243" t="n"/>
      <c r="M1566" s="243" t="n"/>
    </row>
    <row r="1567">
      <c r="K1567" s="651" t="n">
        <v>0.01799768518518519</v>
      </c>
      <c r="L1567" s="243" t="n"/>
      <c r="M1567" s="243" t="n"/>
    </row>
    <row r="1568">
      <c r="K1568" s="651" t="n">
        <v>0.01800925925925926</v>
      </c>
      <c r="L1568" s="243" t="n"/>
      <c r="M1568" s="243" t="n"/>
    </row>
    <row r="1569">
      <c r="K1569" s="651" t="n">
        <v>0.01802083333333333</v>
      </c>
      <c r="L1569" s="243" t="n"/>
      <c r="M1569" s="243" t="n"/>
    </row>
    <row r="1570">
      <c r="K1570" s="651" t="n">
        <v>0.01803240740740741</v>
      </c>
      <c r="L1570" s="243" t="n"/>
      <c r="M1570" s="243" t="n"/>
    </row>
    <row r="1571">
      <c r="K1571" s="651" t="n">
        <v>0.01804398148148148</v>
      </c>
      <c r="L1571" s="243" t="n"/>
      <c r="M1571" s="243" t="n"/>
    </row>
    <row r="1572">
      <c r="K1572" s="651" t="n">
        <v>0.01805555555555555</v>
      </c>
      <c r="L1572" s="243" t="n"/>
      <c r="M1572" s="243" t="n"/>
    </row>
    <row r="1573">
      <c r="K1573" s="651" t="n">
        <v>0.01806712962962963</v>
      </c>
      <c r="L1573" s="243" t="n"/>
      <c r="M1573" s="243" t="n"/>
    </row>
    <row r="1574">
      <c r="K1574" s="651" t="n">
        <v>0.0180787037037037</v>
      </c>
      <c r="L1574" s="243" t="n"/>
      <c r="M1574" s="243" t="n"/>
    </row>
    <row r="1575">
      <c r="K1575" s="651" t="n">
        <v>0.01809027777777778</v>
      </c>
      <c r="L1575" s="243" t="n"/>
      <c r="M1575" s="243" t="n"/>
    </row>
    <row r="1576">
      <c r="K1576" s="651" t="n">
        <v>0.01810185185185185</v>
      </c>
      <c r="L1576" s="243" t="n"/>
      <c r="M1576" s="243" t="n"/>
    </row>
    <row r="1577">
      <c r="K1577" s="651" t="n">
        <v>0.01811342592592593</v>
      </c>
      <c r="L1577" s="243" t="n"/>
      <c r="M1577" s="243" t="n"/>
    </row>
    <row r="1578">
      <c r="K1578" s="651" t="n">
        <v>0.018125</v>
      </c>
      <c r="L1578" s="243" t="n"/>
      <c r="M1578" s="243" t="n"/>
    </row>
    <row r="1579">
      <c r="K1579" s="651" t="n">
        <v>0.01813657407407408</v>
      </c>
      <c r="L1579" s="243" t="n"/>
      <c r="M1579" s="243" t="n"/>
    </row>
    <row r="1580">
      <c r="K1580" s="651" t="n">
        <v>0.01814814814814815</v>
      </c>
      <c r="L1580" s="243" t="n"/>
      <c r="M1580" s="243" t="n"/>
    </row>
    <row r="1581">
      <c r="K1581" s="651" t="n">
        <v>0.01815972222222222</v>
      </c>
      <c r="L1581" s="243" t="n"/>
      <c r="M1581" s="243" t="n"/>
    </row>
    <row r="1582">
      <c r="K1582" s="651" t="n">
        <v>0.0181712962962963</v>
      </c>
      <c r="L1582" s="243" t="n"/>
      <c r="M1582" s="243" t="n"/>
    </row>
    <row r="1583">
      <c r="K1583" s="651" t="n">
        <v>0.01818287037037037</v>
      </c>
      <c r="L1583" s="243" t="n"/>
      <c r="M1583" s="243" t="n"/>
    </row>
    <row r="1584">
      <c r="K1584" s="651" t="n">
        <v>0.01819444444444444</v>
      </c>
      <c r="L1584" s="243" t="n"/>
      <c r="M1584" s="243" t="n"/>
    </row>
    <row r="1585">
      <c r="K1585" s="651" t="n">
        <v>0.01820601851851852</v>
      </c>
      <c r="L1585" s="243" t="n"/>
      <c r="M1585" s="243" t="n"/>
    </row>
    <row r="1586">
      <c r="K1586" s="651" t="n">
        <v>0.01821759259259259</v>
      </c>
      <c r="L1586" s="243" t="n"/>
      <c r="M1586" s="243" t="n"/>
    </row>
    <row r="1587">
      <c r="K1587" s="651" t="n">
        <v>0.01822916666666667</v>
      </c>
      <c r="L1587" s="243" t="n"/>
      <c r="M1587" s="243" t="n"/>
    </row>
    <row r="1588">
      <c r="K1588" s="651" t="n">
        <v>0.01824074074074074</v>
      </c>
      <c r="L1588" s="243" t="n"/>
      <c r="M1588" s="243" t="n"/>
    </row>
    <row r="1589">
      <c r="K1589" s="651" t="n">
        <v>0.01825231481481481</v>
      </c>
      <c r="L1589" s="243" t="n"/>
      <c r="M1589" s="243" t="n"/>
    </row>
    <row r="1590">
      <c r="K1590" s="651" t="n">
        <v>0.01826388888888889</v>
      </c>
      <c r="L1590" s="243" t="n"/>
      <c r="M1590" s="243" t="n"/>
    </row>
    <row r="1591">
      <c r="K1591" s="651" t="n">
        <v>0.01827546296296296</v>
      </c>
      <c r="L1591" s="243" t="n"/>
      <c r="M1591" s="243" t="n"/>
    </row>
    <row r="1592">
      <c r="K1592" s="651" t="n">
        <v>0.01828703703703704</v>
      </c>
      <c r="L1592" s="243" t="n"/>
      <c r="M1592" s="243" t="n"/>
    </row>
    <row r="1593">
      <c r="K1593" s="651" t="n">
        <v>0.01829861111111111</v>
      </c>
      <c r="L1593" s="243" t="n"/>
      <c r="M1593" s="243" t="n"/>
    </row>
    <row r="1594">
      <c r="K1594" s="651" t="n">
        <v>0.01831018518518519</v>
      </c>
      <c r="L1594" s="243" t="n"/>
      <c r="M1594" s="243" t="n"/>
    </row>
    <row r="1595">
      <c r="K1595" s="651" t="n">
        <v>0.01832175925925926</v>
      </c>
      <c r="L1595" s="243" t="n"/>
      <c r="M1595" s="243" t="n"/>
    </row>
    <row r="1596">
      <c r="K1596" s="651" t="n">
        <v>0.01833333333333333</v>
      </c>
      <c r="L1596" s="243" t="n"/>
      <c r="M1596" s="243" t="n"/>
    </row>
    <row r="1597">
      <c r="K1597" s="651" t="n">
        <v>0.01834490740740741</v>
      </c>
      <c r="L1597" s="243" t="n"/>
      <c r="M1597" s="243" t="n"/>
    </row>
    <row r="1598">
      <c r="K1598" s="651" t="n">
        <v>0.01835648148148148</v>
      </c>
      <c r="L1598" s="243" t="n"/>
      <c r="M1598" s="243" t="n"/>
    </row>
    <row r="1599">
      <c r="K1599" s="651" t="n">
        <v>0.01836805555555555</v>
      </c>
      <c r="L1599" s="243" t="n"/>
      <c r="M1599" s="243" t="n"/>
    </row>
    <row r="1600">
      <c r="K1600" s="651" t="n">
        <v>0.01837962962962963</v>
      </c>
      <c r="L1600" s="243" t="n"/>
      <c r="M1600" s="243" t="n"/>
    </row>
    <row r="1601">
      <c r="K1601" s="651" t="n">
        <v>0.0183912037037037</v>
      </c>
      <c r="L1601" s="243" t="n"/>
      <c r="M1601" s="243" t="n"/>
    </row>
    <row r="1602">
      <c r="K1602" s="651" t="n">
        <v>0.01840277777777778</v>
      </c>
      <c r="L1602" s="243" t="n"/>
      <c r="M1602" s="243" t="n"/>
    </row>
    <row r="1603">
      <c r="K1603" s="651" t="n">
        <v>0.01841435185185185</v>
      </c>
      <c r="L1603" s="243" t="n"/>
      <c r="M1603" s="243" t="n"/>
    </row>
    <row r="1604">
      <c r="K1604" s="651" t="n">
        <v>0.01842592592592593</v>
      </c>
      <c r="L1604" s="243" t="n"/>
      <c r="M1604" s="243" t="n"/>
    </row>
    <row r="1605">
      <c r="K1605" s="651" t="n">
        <v>0.0184375</v>
      </c>
      <c r="L1605" s="243" t="n"/>
      <c r="M1605" s="243" t="n"/>
    </row>
    <row r="1606">
      <c r="K1606" s="651" t="n">
        <v>0.01844907407407407</v>
      </c>
      <c r="L1606" s="243" t="n"/>
      <c r="M1606" s="243" t="n"/>
    </row>
    <row r="1607">
      <c r="K1607" s="651" t="n">
        <v>0.01846064814814815</v>
      </c>
      <c r="L1607" s="243" t="n"/>
      <c r="M1607" s="243" t="n"/>
    </row>
    <row r="1608">
      <c r="K1608" s="651" t="n">
        <v>0.01847222222222222</v>
      </c>
      <c r="L1608" s="243" t="n"/>
      <c r="M1608" s="243" t="n"/>
    </row>
    <row r="1609">
      <c r="K1609" s="651" t="n">
        <v>0.0184837962962963</v>
      </c>
      <c r="L1609" s="243" t="n"/>
      <c r="M1609" s="243" t="n"/>
    </row>
    <row r="1610">
      <c r="K1610" s="651" t="n">
        <v>0.01849537037037037</v>
      </c>
      <c r="L1610" s="243" t="n"/>
      <c r="M1610" s="243" t="n"/>
    </row>
    <row r="1611">
      <c r="K1611" s="651" t="n">
        <v>0.01850694444444444</v>
      </c>
      <c r="L1611" s="243" t="n"/>
      <c r="M1611" s="243" t="n"/>
    </row>
    <row r="1612">
      <c r="K1612" s="651" t="n">
        <v>0.01851851851851852</v>
      </c>
      <c r="L1612" s="243" t="n"/>
      <c r="M1612" s="243" t="n"/>
    </row>
    <row r="1613">
      <c r="K1613" s="651" t="n">
        <v>0.01853009259259259</v>
      </c>
      <c r="L1613" s="243" t="n"/>
      <c r="M1613" s="243" t="n"/>
    </row>
    <row r="1614">
      <c r="K1614" s="651" t="n">
        <v>0.01854166666666667</v>
      </c>
      <c r="L1614" s="243" t="n"/>
      <c r="M1614" s="243" t="n"/>
    </row>
    <row r="1615">
      <c r="K1615" s="651" t="n">
        <v>0.01855324074074074</v>
      </c>
      <c r="L1615" s="243" t="n"/>
      <c r="M1615" s="243" t="n"/>
    </row>
    <row r="1616">
      <c r="K1616" s="651" t="n">
        <v>0.01856481481481482</v>
      </c>
      <c r="L1616" s="243" t="n"/>
      <c r="M1616" s="243" t="n"/>
    </row>
    <row r="1617">
      <c r="K1617" s="651" t="n">
        <v>0.01857638888888889</v>
      </c>
      <c r="L1617" s="243" t="n"/>
      <c r="M1617" s="243" t="n"/>
    </row>
    <row r="1618">
      <c r="K1618" s="651" t="n">
        <v>0.01858796296296296</v>
      </c>
      <c r="L1618" s="243" t="n"/>
      <c r="M1618" s="243" t="n"/>
    </row>
    <row r="1619">
      <c r="K1619" s="651" t="n">
        <v>0.01859953703703704</v>
      </c>
      <c r="L1619" s="243" t="n"/>
      <c r="M1619" s="243" t="n"/>
    </row>
    <row r="1620">
      <c r="K1620" s="651" t="n">
        <v>0.01861111111111111</v>
      </c>
      <c r="L1620" s="243" t="n"/>
      <c r="M1620" s="243" t="n"/>
    </row>
    <row r="1621">
      <c r="K1621" s="651" t="n">
        <v>0.01862268518518519</v>
      </c>
      <c r="L1621" s="243" t="n"/>
      <c r="M1621" s="243" t="n"/>
    </row>
    <row r="1622">
      <c r="K1622" s="651" t="n">
        <v>0.01863425925925926</v>
      </c>
      <c r="L1622" s="243" t="n"/>
      <c r="M1622" s="243" t="n"/>
    </row>
    <row r="1623">
      <c r="K1623" s="651" t="n">
        <v>0.01864583333333333</v>
      </c>
      <c r="L1623" s="243" t="n"/>
      <c r="M1623" s="243" t="n"/>
    </row>
    <row r="1624">
      <c r="K1624" s="651" t="n">
        <v>0.01865740740740741</v>
      </c>
      <c r="L1624" s="243" t="n"/>
      <c r="M1624" s="243" t="n"/>
    </row>
    <row r="1625">
      <c r="K1625" s="651" t="n">
        <v>0.01866898148148148</v>
      </c>
      <c r="L1625" s="243" t="n"/>
      <c r="M1625" s="243" t="n"/>
    </row>
    <row r="1626">
      <c r="K1626" s="651" t="n">
        <v>0.01868055555555555</v>
      </c>
      <c r="L1626" s="243" t="n"/>
      <c r="M1626" s="243" t="n"/>
    </row>
    <row r="1627">
      <c r="K1627" s="651" t="n">
        <v>0.01869212962962963</v>
      </c>
      <c r="L1627" s="243" t="n"/>
      <c r="M1627" s="243" t="n"/>
    </row>
    <row r="1628">
      <c r="K1628" s="651" t="n">
        <v>0.01870370370370371</v>
      </c>
      <c r="L1628" s="243" t="n"/>
      <c r="M1628" s="243" t="n"/>
    </row>
    <row r="1629">
      <c r="K1629" s="651" t="n">
        <v>0.01871527777777778</v>
      </c>
      <c r="L1629" s="243" t="n"/>
      <c r="M1629" s="243" t="n"/>
    </row>
    <row r="1630">
      <c r="K1630" s="651" t="n">
        <v>0.01872685185185185</v>
      </c>
      <c r="L1630" s="243" t="n"/>
      <c r="M1630" s="243" t="n"/>
    </row>
    <row r="1631">
      <c r="K1631" s="651" t="n">
        <v>0.01873842592592593</v>
      </c>
      <c r="L1631" s="243" t="n"/>
      <c r="M1631" s="243" t="n"/>
    </row>
    <row r="1632">
      <c r="K1632" s="651" t="n">
        <v>0.01875</v>
      </c>
      <c r="L1632" s="243" t="n"/>
      <c r="M1632" s="243" t="n"/>
    </row>
    <row r="1633">
      <c r="K1633" s="651" t="n">
        <v>0.01876157407407407</v>
      </c>
      <c r="L1633" s="243" t="n"/>
      <c r="M1633" s="243" t="n"/>
    </row>
    <row r="1634">
      <c r="K1634" s="651" t="n">
        <v>0.01877314814814815</v>
      </c>
      <c r="L1634" s="243" t="n"/>
      <c r="M1634" s="243" t="n"/>
    </row>
    <row r="1635">
      <c r="K1635" s="651" t="n">
        <v>0.01878472222222222</v>
      </c>
      <c r="L1635" s="243" t="n"/>
      <c r="M1635" s="243" t="n"/>
    </row>
    <row r="1636">
      <c r="K1636" s="651" t="n">
        <v>0.0187962962962963</v>
      </c>
      <c r="L1636" s="243" t="n"/>
      <c r="M1636" s="243" t="n"/>
    </row>
    <row r="1637">
      <c r="K1637" s="651" t="n">
        <v>0.01880787037037037</v>
      </c>
      <c r="L1637" s="243" t="n"/>
      <c r="M1637" s="243" t="n"/>
    </row>
    <row r="1638">
      <c r="K1638" s="651" t="n">
        <v>0.01881944444444444</v>
      </c>
      <c r="L1638" s="243" t="n"/>
      <c r="M1638" s="243" t="n"/>
    </row>
    <row r="1639">
      <c r="K1639" s="651" t="n">
        <v>0.01883101851851852</v>
      </c>
      <c r="L1639" s="243" t="n"/>
      <c r="M1639" s="243" t="n"/>
    </row>
    <row r="1640">
      <c r="K1640" s="651" t="n">
        <v>0.01884259259259259</v>
      </c>
      <c r="L1640" s="243" t="n"/>
      <c r="M1640" s="243" t="n"/>
    </row>
    <row r="1641">
      <c r="K1641" s="651" t="n">
        <v>0.01885416666666667</v>
      </c>
      <c r="L1641" s="243" t="n"/>
      <c r="M1641" s="243" t="n"/>
    </row>
    <row r="1642">
      <c r="K1642" s="651" t="n">
        <v>0.01886574074074074</v>
      </c>
      <c r="L1642" s="243" t="n"/>
      <c r="M1642" s="243" t="n"/>
    </row>
    <row r="1643">
      <c r="K1643" s="651" t="n">
        <v>0.01887731481481482</v>
      </c>
      <c r="L1643" s="243" t="n"/>
      <c r="M1643" s="243" t="n"/>
    </row>
    <row r="1644">
      <c r="K1644" s="651" t="n">
        <v>0.01888888888888889</v>
      </c>
      <c r="L1644" s="243" t="n"/>
      <c r="M1644" s="243" t="n"/>
    </row>
    <row r="1645">
      <c r="K1645" s="651" t="n">
        <v>0.01890046296296296</v>
      </c>
      <c r="L1645" s="243" t="n"/>
      <c r="M1645" s="243" t="n"/>
    </row>
    <row r="1646">
      <c r="K1646" s="651" t="n">
        <v>0.01891203703703704</v>
      </c>
      <c r="L1646" s="243" t="n"/>
      <c r="M1646" s="243" t="n"/>
    </row>
    <row r="1647">
      <c r="K1647" s="651" t="n">
        <v>0.01892361111111111</v>
      </c>
      <c r="L1647" s="243" t="n"/>
      <c r="M1647" s="243" t="n"/>
    </row>
    <row r="1648">
      <c r="K1648" s="651" t="n">
        <v>0.01893518518518519</v>
      </c>
      <c r="L1648" s="243" t="n"/>
      <c r="M1648" s="243" t="n"/>
    </row>
    <row r="1649">
      <c r="K1649" s="651" t="n">
        <v>0.01894675925925926</v>
      </c>
      <c r="L1649" s="243" t="n"/>
      <c r="M1649" s="243" t="n"/>
    </row>
    <row r="1650">
      <c r="K1650" s="651" t="n">
        <v>0.01895833333333333</v>
      </c>
      <c r="L1650" s="243" t="n"/>
      <c r="M1650" s="243" t="n"/>
    </row>
    <row r="1651">
      <c r="K1651" s="651" t="n">
        <v>0.01896990740740741</v>
      </c>
      <c r="L1651" s="243" t="n"/>
      <c r="M1651" s="243" t="n"/>
    </row>
    <row r="1652">
      <c r="K1652" s="651" t="n">
        <v>0.01898148148148148</v>
      </c>
      <c r="L1652" s="243" t="n"/>
      <c r="M1652" s="243" t="n"/>
    </row>
    <row r="1653">
      <c r="K1653" s="651" t="n">
        <v>0.01899305555555555</v>
      </c>
      <c r="L1653" s="243" t="n"/>
      <c r="M1653" s="243" t="n"/>
    </row>
    <row r="1654">
      <c r="K1654" s="651" t="n">
        <v>0.01900462962962963</v>
      </c>
      <c r="L1654" s="243" t="n"/>
      <c r="M1654" s="243" t="n"/>
    </row>
    <row r="1655">
      <c r="K1655" s="651" t="n">
        <v>0.01901620370370371</v>
      </c>
      <c r="L1655" s="243" t="n"/>
      <c r="M1655" s="243" t="n"/>
    </row>
    <row r="1656">
      <c r="K1656" s="651" t="n">
        <v>0.01902777777777778</v>
      </c>
      <c r="L1656" s="243" t="n"/>
      <c r="M1656" s="243" t="n"/>
    </row>
    <row r="1657">
      <c r="K1657" s="651" t="n">
        <v>0.01903935185185185</v>
      </c>
      <c r="L1657" s="243" t="n"/>
      <c r="M1657" s="243" t="n"/>
    </row>
    <row r="1658">
      <c r="K1658" s="651" t="n">
        <v>0.01905092592592593</v>
      </c>
      <c r="L1658" s="243" t="n"/>
      <c r="M1658" s="243" t="n"/>
    </row>
    <row r="1659">
      <c r="K1659" s="651" t="n">
        <v>0.0190625</v>
      </c>
      <c r="L1659" s="243" t="n"/>
      <c r="M1659" s="243" t="n"/>
    </row>
    <row r="1660">
      <c r="K1660" s="651" t="n">
        <v>0.01907407407407407</v>
      </c>
      <c r="L1660" s="243" t="n"/>
      <c r="M1660" s="243" t="n"/>
    </row>
    <row r="1661">
      <c r="K1661" s="651" t="n">
        <v>0.01908564814814815</v>
      </c>
      <c r="L1661" s="243" t="n"/>
      <c r="M1661" s="243" t="n"/>
    </row>
    <row r="1662">
      <c r="K1662" s="651" t="n">
        <v>0.01909722222222222</v>
      </c>
      <c r="L1662" s="243" t="n"/>
      <c r="M1662" s="243" t="n"/>
    </row>
    <row r="1663">
      <c r="K1663" s="651" t="n">
        <v>0.0191087962962963</v>
      </c>
      <c r="L1663" s="243" t="n"/>
      <c r="M1663" s="243" t="n"/>
    </row>
    <row r="1664">
      <c r="K1664" s="651" t="n">
        <v>0.01912037037037037</v>
      </c>
      <c r="L1664" s="243" t="n"/>
      <c r="M1664" s="243" t="n"/>
    </row>
    <row r="1665">
      <c r="K1665" s="651" t="n">
        <v>0.01913194444444444</v>
      </c>
      <c r="L1665" s="243" t="n"/>
      <c r="M1665" s="243" t="n"/>
    </row>
    <row r="1666">
      <c r="K1666" s="651" t="n">
        <v>0.01914351851851852</v>
      </c>
      <c r="L1666" s="243" t="n"/>
      <c r="M1666" s="243" t="n"/>
    </row>
    <row r="1667">
      <c r="K1667" s="651" t="n">
        <v>0.01915509259259259</v>
      </c>
      <c r="L1667" s="243" t="n"/>
      <c r="M1667" s="243" t="n"/>
    </row>
    <row r="1668">
      <c r="K1668" s="651" t="n">
        <v>0.01916666666666667</v>
      </c>
      <c r="L1668" s="243" t="n"/>
      <c r="M1668" s="243" t="n"/>
    </row>
    <row r="1669">
      <c r="K1669" s="651" t="n">
        <v>0.01917824074074074</v>
      </c>
      <c r="L1669" s="243" t="n"/>
      <c r="M1669" s="243" t="n"/>
    </row>
    <row r="1670">
      <c r="K1670" s="651" t="n">
        <v>0.01918981481481482</v>
      </c>
      <c r="L1670" s="243" t="n"/>
      <c r="M1670" s="243" t="n"/>
    </row>
    <row r="1671">
      <c r="K1671" s="651" t="n">
        <v>0.01920138888888889</v>
      </c>
      <c r="L1671" s="243" t="n"/>
      <c r="M1671" s="243" t="n"/>
    </row>
    <row r="1672">
      <c r="K1672" s="651" t="n">
        <v>0.01921296296296296</v>
      </c>
      <c r="L1672" s="243" t="n"/>
      <c r="M1672" s="243" t="n"/>
    </row>
    <row r="1673">
      <c r="K1673" s="651" t="n">
        <v>0.01922453703703704</v>
      </c>
      <c r="L1673" s="243" t="n"/>
      <c r="M1673" s="243" t="n"/>
    </row>
    <row r="1674">
      <c r="K1674" s="651" t="n">
        <v>0.01923611111111111</v>
      </c>
      <c r="L1674" s="243" t="n"/>
      <c r="M1674" s="243" t="n"/>
    </row>
    <row r="1675">
      <c r="K1675" s="651" t="n">
        <v>0.01924768518518518</v>
      </c>
      <c r="L1675" s="243" t="n"/>
      <c r="M1675" s="243" t="n"/>
    </row>
    <row r="1676">
      <c r="K1676" s="651" t="n">
        <v>0.01925925925925926</v>
      </c>
      <c r="L1676" s="243" t="n"/>
      <c r="M1676" s="243" t="n"/>
    </row>
    <row r="1677">
      <c r="K1677" s="651" t="n">
        <v>0.01927083333333333</v>
      </c>
      <c r="L1677" s="243" t="n"/>
      <c r="M1677" s="243" t="n"/>
    </row>
    <row r="1678">
      <c r="K1678" s="651" t="n">
        <v>0.01928240740740741</v>
      </c>
      <c r="L1678" s="243" t="n"/>
      <c r="M1678" s="243" t="n"/>
    </row>
    <row r="1679">
      <c r="K1679" s="651" t="n">
        <v>0.01929398148148148</v>
      </c>
      <c r="L1679" s="243" t="n"/>
      <c r="M1679" s="243" t="n"/>
    </row>
    <row r="1680">
      <c r="K1680" s="651" t="n">
        <v>0.01930555555555555</v>
      </c>
      <c r="L1680" s="243" t="n"/>
      <c r="M1680" s="243" t="n"/>
    </row>
    <row r="1681">
      <c r="K1681" s="651" t="n">
        <v>0.01931712962962963</v>
      </c>
      <c r="L1681" s="243" t="n"/>
      <c r="M1681" s="243" t="n"/>
    </row>
    <row r="1682">
      <c r="K1682" s="651" t="n">
        <v>0.0193287037037037</v>
      </c>
      <c r="L1682" s="243" t="n"/>
      <c r="M1682" s="243" t="n"/>
    </row>
    <row r="1683">
      <c r="K1683" s="651" t="n">
        <v>0.01934027777777778</v>
      </c>
      <c r="L1683" s="243" t="n"/>
      <c r="M1683" s="243" t="n"/>
    </row>
    <row r="1684">
      <c r="K1684" s="651" t="n">
        <v>0.01935185185185185</v>
      </c>
      <c r="L1684" s="243" t="n"/>
      <c r="M1684" s="243" t="n"/>
    </row>
    <row r="1685">
      <c r="K1685" s="651" t="n">
        <v>0.01936342592592593</v>
      </c>
      <c r="L1685" s="243" t="n"/>
      <c r="M1685" s="243" t="n"/>
    </row>
    <row r="1686">
      <c r="K1686" s="651" t="n">
        <v>0.019375</v>
      </c>
      <c r="L1686" s="243" t="n"/>
      <c r="M1686" s="243" t="n"/>
    </row>
    <row r="1687">
      <c r="K1687" s="651" t="n">
        <v>0.01938657407407407</v>
      </c>
      <c r="L1687" s="243" t="n"/>
      <c r="M1687" s="243" t="n"/>
    </row>
    <row r="1688">
      <c r="K1688" s="651" t="n">
        <v>0.01939814814814815</v>
      </c>
      <c r="L1688" s="243" t="n"/>
      <c r="M1688" s="243" t="n"/>
    </row>
    <row r="1689">
      <c r="K1689" s="651" t="n">
        <v>0.01940972222222222</v>
      </c>
      <c r="L1689" s="243" t="n"/>
      <c r="M1689" s="243" t="n"/>
    </row>
    <row r="1690">
      <c r="K1690" s="651" t="n">
        <v>0.0194212962962963</v>
      </c>
      <c r="L1690" s="243" t="n"/>
      <c r="M1690" s="243" t="n"/>
    </row>
    <row r="1691">
      <c r="K1691" s="651" t="n">
        <v>0.01943287037037037</v>
      </c>
      <c r="L1691" s="243" t="n"/>
      <c r="M1691" s="243" t="n"/>
    </row>
    <row r="1692">
      <c r="K1692" s="651" t="n">
        <v>0.01944444444444444</v>
      </c>
      <c r="L1692" s="243" t="n"/>
      <c r="M1692" s="243" t="n"/>
    </row>
    <row r="1693">
      <c r="K1693" s="651" t="n">
        <v>0.01945601851851852</v>
      </c>
      <c r="L1693" s="243" t="n"/>
      <c r="M1693" s="243" t="n"/>
    </row>
    <row r="1694">
      <c r="K1694" s="651" t="n">
        <v>0.01946759259259259</v>
      </c>
      <c r="L1694" s="243" t="n"/>
      <c r="M1694" s="243" t="n"/>
    </row>
    <row r="1695">
      <c r="K1695" s="651" t="n">
        <v>0.01947916666666667</v>
      </c>
      <c r="L1695" s="243" t="n"/>
      <c r="M1695" s="243" t="n"/>
    </row>
    <row r="1696">
      <c r="K1696" s="651" t="n">
        <v>0.01949074074074074</v>
      </c>
      <c r="L1696" s="243" t="n"/>
      <c r="M1696" s="243" t="n"/>
    </row>
    <row r="1697">
      <c r="K1697" s="651" t="n">
        <v>0.01950231481481482</v>
      </c>
      <c r="L1697" s="243" t="n"/>
      <c r="M1697" s="243" t="n"/>
    </row>
    <row r="1698">
      <c r="K1698" s="651" t="n">
        <v>0.01951388888888889</v>
      </c>
      <c r="L1698" s="243" t="n"/>
      <c r="M1698" s="243" t="n"/>
    </row>
    <row r="1699">
      <c r="K1699" s="651" t="n">
        <v>0.01952546296296296</v>
      </c>
      <c r="L1699" s="243" t="n"/>
      <c r="M1699" s="243" t="n"/>
    </row>
    <row r="1700">
      <c r="K1700" s="651" t="n">
        <v>0.01953703703703704</v>
      </c>
      <c r="L1700" s="243" t="n"/>
      <c r="M1700" s="243" t="n"/>
    </row>
    <row r="1701">
      <c r="K1701" s="651" t="n">
        <v>0.01954861111111111</v>
      </c>
      <c r="L1701" s="243" t="n"/>
      <c r="M1701" s="243" t="n"/>
    </row>
    <row r="1702">
      <c r="K1702" s="651" t="n">
        <v>0.01956018518518518</v>
      </c>
      <c r="L1702" s="243" t="n"/>
      <c r="M1702" s="243" t="n"/>
    </row>
    <row r="1703">
      <c r="K1703" s="651" t="n">
        <v>0.01957175925925926</v>
      </c>
      <c r="L1703" s="243" t="n"/>
      <c r="M1703" s="243" t="n"/>
    </row>
    <row r="1704">
      <c r="K1704" s="651" t="n">
        <v>0.01958333333333333</v>
      </c>
      <c r="L1704" s="243" t="n"/>
      <c r="M1704" s="243" t="n"/>
    </row>
    <row r="1705">
      <c r="K1705" s="651" t="n">
        <v>0.01959490740740741</v>
      </c>
      <c r="L1705" s="243" t="n"/>
      <c r="M1705" s="243" t="n"/>
    </row>
    <row r="1706">
      <c r="K1706" s="651" t="n">
        <v>0.01960648148148148</v>
      </c>
      <c r="L1706" s="243" t="n"/>
      <c r="M1706" s="243" t="n"/>
    </row>
    <row r="1707">
      <c r="K1707" s="651" t="n">
        <v>0.01961805555555556</v>
      </c>
      <c r="L1707" s="243" t="n"/>
      <c r="M1707" s="243" t="n"/>
    </row>
    <row r="1708">
      <c r="K1708" s="651" t="n">
        <v>0.01962962962962963</v>
      </c>
      <c r="L1708" s="243" t="n"/>
      <c r="M1708" s="243" t="n"/>
    </row>
    <row r="1709">
      <c r="K1709" s="651" t="n">
        <v>0.0196412037037037</v>
      </c>
      <c r="L1709" s="243" t="n"/>
      <c r="M1709" s="243" t="n"/>
    </row>
    <row r="1710">
      <c r="K1710" s="651" t="n">
        <v>0.01965277777777778</v>
      </c>
      <c r="L1710" s="243" t="n"/>
      <c r="M1710" s="243" t="n"/>
    </row>
    <row r="1711">
      <c r="K1711" s="651" t="n">
        <v>0.01966435185185185</v>
      </c>
      <c r="L1711" s="243" t="n"/>
      <c r="M1711" s="243" t="n"/>
    </row>
    <row r="1712">
      <c r="K1712" s="651" t="n">
        <v>0.01967592592592593</v>
      </c>
      <c r="L1712" s="243" t="n"/>
      <c r="M1712" s="243" t="n"/>
    </row>
    <row r="1713">
      <c r="K1713" s="651" t="n">
        <v>0.0196875</v>
      </c>
      <c r="L1713" s="243" t="n"/>
      <c r="M1713" s="243" t="n"/>
    </row>
    <row r="1714">
      <c r="K1714" s="651" t="n">
        <v>0.01969907407407407</v>
      </c>
      <c r="L1714" s="243" t="n"/>
      <c r="M1714" s="243" t="n"/>
    </row>
    <row r="1715">
      <c r="K1715" s="651" t="n">
        <v>0.01971064814814815</v>
      </c>
      <c r="L1715" s="243" t="n"/>
      <c r="M1715" s="243" t="n"/>
    </row>
    <row r="1716">
      <c r="K1716" s="651" t="n">
        <v>0.01972222222222222</v>
      </c>
      <c r="L1716" s="243" t="n"/>
      <c r="M1716" s="243" t="n"/>
    </row>
    <row r="1717">
      <c r="K1717" s="651" t="n">
        <v>0.0197337962962963</v>
      </c>
      <c r="L1717" s="243" t="n"/>
      <c r="M1717" s="243" t="n"/>
    </row>
    <row r="1718">
      <c r="K1718" s="651" t="n">
        <v>0.01974537037037037</v>
      </c>
      <c r="L1718" s="243" t="n"/>
      <c r="M1718" s="243" t="n"/>
    </row>
    <row r="1719">
      <c r="K1719" s="651" t="n">
        <v>0.01975694444444445</v>
      </c>
      <c r="L1719" s="243" t="n"/>
      <c r="M1719" s="243" t="n"/>
    </row>
    <row r="1720">
      <c r="K1720" s="651" t="n">
        <v>0.01976851851851852</v>
      </c>
      <c r="L1720" s="243" t="n"/>
      <c r="M1720" s="243" t="n"/>
    </row>
    <row r="1721">
      <c r="K1721" s="651" t="n">
        <v>0.01978009259259259</v>
      </c>
      <c r="L1721" s="243" t="n"/>
      <c r="M1721" s="243" t="n"/>
    </row>
    <row r="1722">
      <c r="K1722" s="651" t="n">
        <v>0.01979166666666667</v>
      </c>
      <c r="L1722" s="243" t="n"/>
      <c r="M1722" s="243" t="n"/>
    </row>
    <row r="1723">
      <c r="K1723" s="651" t="n">
        <v>0.01980324074074074</v>
      </c>
      <c r="L1723" s="243" t="n"/>
      <c r="M1723" s="243" t="n"/>
    </row>
    <row r="1724">
      <c r="K1724" s="651" t="n">
        <v>0.01981481481481482</v>
      </c>
      <c r="L1724" s="243" t="n"/>
      <c r="M1724" s="243" t="n"/>
    </row>
    <row r="1725">
      <c r="K1725" s="651" t="n">
        <v>0.01982638888888889</v>
      </c>
      <c r="L1725" s="243" t="n"/>
      <c r="M1725" s="243" t="n"/>
    </row>
    <row r="1726">
      <c r="K1726" s="651" t="n">
        <v>0.01983796296296296</v>
      </c>
      <c r="L1726" s="243" t="n"/>
      <c r="M1726" s="243" t="n"/>
    </row>
    <row r="1727">
      <c r="K1727" s="651" t="n">
        <v>0.01984953703703704</v>
      </c>
      <c r="L1727" s="243" t="n"/>
      <c r="M1727" s="243" t="n"/>
    </row>
    <row r="1728">
      <c r="K1728" s="651" t="n">
        <v>0.01986111111111111</v>
      </c>
      <c r="L1728" s="243" t="n"/>
      <c r="M1728" s="243" t="n"/>
    </row>
    <row r="1729">
      <c r="K1729" s="651" t="n">
        <v>0.01987268518518518</v>
      </c>
      <c r="L1729" s="243" t="n"/>
      <c r="M1729" s="243" t="n"/>
    </row>
    <row r="1730">
      <c r="K1730" s="651" t="n">
        <v>0.01988425925925926</v>
      </c>
      <c r="L1730" s="243" t="n"/>
      <c r="M1730" s="243" t="n"/>
    </row>
    <row r="1731">
      <c r="K1731" s="651" t="n">
        <v>0.01989583333333333</v>
      </c>
      <c r="L1731" s="243" t="n"/>
      <c r="M1731" s="243" t="n"/>
    </row>
    <row r="1732">
      <c r="K1732" s="651" t="n">
        <v>0.01990740740740741</v>
      </c>
      <c r="L1732" s="243" t="n"/>
      <c r="M1732" s="243" t="n"/>
    </row>
    <row r="1733">
      <c r="K1733" s="651" t="n">
        <v>0.01991898148148148</v>
      </c>
      <c r="L1733" s="243" t="n"/>
      <c r="M1733" s="243" t="n"/>
    </row>
    <row r="1734">
      <c r="K1734" s="651" t="n">
        <v>0.01993055555555556</v>
      </c>
      <c r="L1734" s="243" t="n"/>
      <c r="M1734" s="243" t="n"/>
    </row>
    <row r="1735">
      <c r="K1735" s="651" t="n">
        <v>0.01994212962962963</v>
      </c>
      <c r="L1735" s="243" t="n"/>
      <c r="M1735" s="243" t="n"/>
    </row>
    <row r="1736">
      <c r="K1736" s="651" t="n">
        <v>0.0199537037037037</v>
      </c>
      <c r="L1736" s="243" t="n"/>
      <c r="M1736" s="243" t="n"/>
    </row>
    <row r="1737">
      <c r="K1737" s="651" t="n">
        <v>0.01996527777777778</v>
      </c>
      <c r="L1737" s="243" t="n"/>
      <c r="M1737" s="243" t="n"/>
    </row>
    <row r="1738">
      <c r="K1738" s="651" t="n">
        <v>0.01997685185185185</v>
      </c>
      <c r="L1738" s="243" t="n"/>
      <c r="M1738" s="243" t="n"/>
    </row>
    <row r="1739">
      <c r="K1739" s="651" t="n">
        <v>0.01998842592592593</v>
      </c>
      <c r="L1739" s="243" t="n"/>
      <c r="M1739" s="243" t="n"/>
    </row>
    <row r="1740">
      <c r="K1740" s="651" t="n">
        <v>0.02</v>
      </c>
      <c r="L1740" s="243" t="n"/>
      <c r="M1740" s="243" t="n"/>
    </row>
    <row r="1741">
      <c r="K1741" s="651" t="n">
        <v>0.02001157407407407</v>
      </c>
      <c r="L1741" s="243" t="n"/>
      <c r="M1741" s="243" t="n"/>
    </row>
    <row r="1742">
      <c r="K1742" s="651" t="n">
        <v>0.02002314814814815</v>
      </c>
      <c r="L1742" s="243" t="n"/>
      <c r="M1742" s="243" t="n"/>
    </row>
    <row r="1743">
      <c r="K1743" s="651" t="n">
        <v>0.02003472222222222</v>
      </c>
      <c r="L1743" s="243" t="n"/>
      <c r="M1743" s="243" t="n"/>
    </row>
    <row r="1744">
      <c r="K1744" s="651" t="n">
        <v>0.02004629629629629</v>
      </c>
      <c r="L1744" s="243" t="n"/>
      <c r="M1744" s="243" t="n"/>
    </row>
    <row r="1745">
      <c r="K1745" s="651" t="n">
        <v>0.02005787037037037</v>
      </c>
      <c r="L1745" s="243" t="n"/>
      <c r="M1745" s="243" t="n"/>
    </row>
    <row r="1746">
      <c r="K1746" s="651" t="n">
        <v>0.02006944444444445</v>
      </c>
      <c r="L1746" s="243" t="n"/>
      <c r="M1746" s="243" t="n"/>
    </row>
    <row r="1747">
      <c r="K1747" s="651" t="n">
        <v>0.02008101851851852</v>
      </c>
      <c r="L1747" s="243" t="n"/>
      <c r="M1747" s="243" t="n"/>
    </row>
    <row r="1748">
      <c r="K1748" s="651" t="n">
        <v>0.02009259259259259</v>
      </c>
      <c r="L1748" s="243" t="n"/>
      <c r="M1748" s="243" t="n"/>
    </row>
    <row r="1749">
      <c r="K1749" s="651" t="n">
        <v>0.02010416666666667</v>
      </c>
      <c r="L1749" s="243" t="n"/>
      <c r="M1749" s="243" t="n"/>
    </row>
    <row r="1750">
      <c r="K1750" s="651" t="n">
        <v>0.02011574074074074</v>
      </c>
      <c r="L1750" s="243" t="n"/>
      <c r="M1750" s="243" t="n"/>
    </row>
    <row r="1751">
      <c r="K1751" s="651" t="n">
        <v>0.02012731481481481</v>
      </c>
      <c r="L1751" s="243" t="n"/>
      <c r="M1751" s="243" t="n"/>
    </row>
    <row r="1752">
      <c r="K1752" s="651" t="n">
        <v>0.02013888888888889</v>
      </c>
      <c r="L1752" s="243" t="n"/>
      <c r="M1752" s="243" t="n"/>
    </row>
    <row r="1753">
      <c r="K1753" s="651" t="n">
        <v>0.02015046296296296</v>
      </c>
      <c r="L1753" s="243" t="n"/>
      <c r="M1753" s="243" t="n"/>
    </row>
    <row r="1754">
      <c r="K1754" s="651" t="n">
        <v>0.02016203703703704</v>
      </c>
      <c r="L1754" s="243" t="n"/>
      <c r="M1754" s="243" t="n"/>
    </row>
    <row r="1755">
      <c r="K1755" s="651" t="n">
        <v>0.02017361111111111</v>
      </c>
      <c r="L1755" s="243" t="n"/>
      <c r="M1755" s="243" t="n"/>
    </row>
    <row r="1756">
      <c r="K1756" s="651" t="n">
        <v>0.02018518518518518</v>
      </c>
      <c r="L1756" s="243" t="n"/>
      <c r="M1756" s="243" t="n"/>
    </row>
    <row r="1757">
      <c r="K1757" s="651" t="n">
        <v>0.02019675925925926</v>
      </c>
      <c r="L1757" s="243" t="n"/>
      <c r="M1757" s="243" t="n"/>
    </row>
    <row r="1758">
      <c r="K1758" s="651" t="n">
        <v>0.02020833333333333</v>
      </c>
      <c r="L1758" s="243" t="n"/>
      <c r="M1758" s="243" t="n"/>
    </row>
    <row r="1759">
      <c r="K1759" s="651" t="n">
        <v>0.02021990740740741</v>
      </c>
      <c r="L1759" s="243" t="n"/>
      <c r="M1759" s="243" t="n"/>
    </row>
    <row r="1760">
      <c r="K1760" s="651" t="n">
        <v>0.02023148148148148</v>
      </c>
      <c r="L1760" s="243" t="n"/>
      <c r="M1760" s="243" t="n"/>
    </row>
    <row r="1761">
      <c r="K1761" s="651" t="n">
        <v>0.02024305555555556</v>
      </c>
      <c r="L1761" s="243" t="n"/>
      <c r="M1761" s="243" t="n"/>
    </row>
    <row r="1762">
      <c r="K1762" s="651" t="n">
        <v>0.02025462962962963</v>
      </c>
      <c r="L1762" s="243" t="n"/>
      <c r="M1762" s="243" t="n"/>
    </row>
    <row r="1763">
      <c r="K1763" s="651" t="n">
        <v>0.0202662037037037</v>
      </c>
      <c r="L1763" s="243" t="n"/>
      <c r="M1763" s="243" t="n"/>
    </row>
    <row r="1764">
      <c r="K1764" s="651" t="n">
        <v>0.02027777777777778</v>
      </c>
      <c r="L1764" s="243" t="n"/>
      <c r="M1764" s="243" t="n"/>
    </row>
    <row r="1765">
      <c r="K1765" s="651" t="n">
        <v>0.02028935185185185</v>
      </c>
      <c r="L1765" s="243" t="n"/>
      <c r="M1765" s="243" t="n"/>
    </row>
    <row r="1766">
      <c r="K1766" s="651" t="n">
        <v>0.02030092592592593</v>
      </c>
      <c r="L1766" s="243" t="n"/>
      <c r="M1766" s="243" t="n"/>
    </row>
    <row r="1767">
      <c r="K1767" s="651" t="n">
        <v>0.0203125</v>
      </c>
      <c r="L1767" s="243" t="n"/>
      <c r="M1767" s="243" t="n"/>
    </row>
    <row r="1768">
      <c r="K1768" s="651" t="n">
        <v>0.02032407407407407</v>
      </c>
      <c r="L1768" s="243" t="n"/>
      <c r="M1768" s="243" t="n"/>
    </row>
    <row r="1769">
      <c r="K1769" s="651" t="n">
        <v>0.02033564814814815</v>
      </c>
      <c r="L1769" s="243" t="n"/>
      <c r="M1769" s="243" t="n"/>
    </row>
    <row r="1770">
      <c r="K1770" s="651" t="n">
        <v>0.02034722222222222</v>
      </c>
      <c r="L1770" s="243" t="n"/>
      <c r="M1770" s="243" t="n"/>
    </row>
    <row r="1771">
      <c r="K1771" s="651" t="n">
        <v>0.02035879629629629</v>
      </c>
      <c r="L1771" s="243" t="n"/>
      <c r="M1771" s="243" t="n"/>
    </row>
    <row r="1772">
      <c r="K1772" s="651" t="n">
        <v>0.02037037037037037</v>
      </c>
      <c r="L1772" s="243" t="n"/>
      <c r="M1772" s="243" t="n"/>
    </row>
    <row r="1773">
      <c r="K1773" s="651" t="n">
        <v>0.02038194444444445</v>
      </c>
      <c r="L1773" s="243" t="n"/>
      <c r="M1773" s="243" t="n"/>
    </row>
    <row r="1774">
      <c r="K1774" s="651" t="n">
        <v>0.02039351851851852</v>
      </c>
      <c r="L1774" s="243" t="n"/>
      <c r="M1774" s="243" t="n"/>
    </row>
    <row r="1775">
      <c r="K1775" s="651" t="n">
        <v>0.02040509259259259</v>
      </c>
      <c r="L1775" s="243" t="n"/>
      <c r="M1775" s="243" t="n"/>
    </row>
    <row r="1776">
      <c r="K1776" s="651" t="n">
        <v>0.02041666666666667</v>
      </c>
      <c r="L1776" s="243" t="n"/>
      <c r="M1776" s="243" t="n"/>
    </row>
    <row r="1777">
      <c r="K1777" s="651" t="n">
        <v>0.02042824074074074</v>
      </c>
      <c r="L1777" s="243" t="n"/>
      <c r="M1777" s="243" t="n"/>
    </row>
    <row r="1778">
      <c r="K1778" s="651" t="n">
        <v>0.02043981481481481</v>
      </c>
      <c r="L1778" s="243" t="n"/>
      <c r="M1778" s="243" t="n"/>
    </row>
    <row r="1779">
      <c r="K1779" s="651" t="n">
        <v>0.02045138888888889</v>
      </c>
      <c r="L1779" s="243" t="n"/>
      <c r="M1779" s="243" t="n"/>
    </row>
    <row r="1780">
      <c r="K1780" s="651" t="n">
        <v>0.02046296296296296</v>
      </c>
      <c r="L1780" s="243" t="n"/>
      <c r="M1780" s="243" t="n"/>
    </row>
    <row r="1781">
      <c r="K1781" s="651" t="n">
        <v>0.02047453703703704</v>
      </c>
      <c r="L1781" s="243" t="n"/>
      <c r="M1781" s="243" t="n"/>
    </row>
    <row r="1782">
      <c r="K1782" s="651" t="n">
        <v>0.02048611111111111</v>
      </c>
      <c r="L1782" s="243" t="n"/>
      <c r="M1782" s="243" t="n"/>
    </row>
    <row r="1783">
      <c r="K1783" s="651" t="n">
        <v>0.02049768518518518</v>
      </c>
      <c r="L1783" s="243" t="n"/>
      <c r="M1783" s="243" t="n"/>
    </row>
    <row r="1784">
      <c r="K1784" s="651" t="n">
        <v>0.02050925925925926</v>
      </c>
      <c r="L1784" s="243" t="n"/>
      <c r="M1784" s="243" t="n"/>
    </row>
    <row r="1785">
      <c r="K1785" s="651" t="n">
        <v>0.02052083333333333</v>
      </c>
      <c r="L1785" s="243" t="n"/>
      <c r="M1785" s="243" t="n"/>
    </row>
    <row r="1786">
      <c r="K1786" s="651" t="n">
        <v>0.02053240740740741</v>
      </c>
      <c r="L1786" s="243" t="n"/>
      <c r="M1786" s="243" t="n"/>
    </row>
    <row r="1787">
      <c r="K1787" s="651" t="n">
        <v>0.02054398148148148</v>
      </c>
      <c r="L1787" s="243" t="n"/>
      <c r="M1787" s="243" t="n"/>
    </row>
    <row r="1788">
      <c r="K1788" s="651" t="n">
        <v>0.02055555555555556</v>
      </c>
      <c r="L1788" s="243" t="n"/>
      <c r="M1788" s="243" t="n"/>
    </row>
    <row r="1789">
      <c r="K1789" s="651" t="n">
        <v>0.02056712962962963</v>
      </c>
      <c r="L1789" s="243" t="n"/>
      <c r="M1789" s="243" t="n"/>
    </row>
    <row r="1790">
      <c r="K1790" s="651" t="n">
        <v>0.0205787037037037</v>
      </c>
      <c r="L1790" s="243" t="n"/>
      <c r="M1790" s="243" t="n"/>
    </row>
    <row r="1791">
      <c r="K1791" s="651" t="n">
        <v>0.02059027777777778</v>
      </c>
      <c r="L1791" s="243" t="n"/>
      <c r="M1791" s="243" t="n"/>
    </row>
    <row r="1792">
      <c r="K1792" s="651" t="n">
        <v>0.02060185185185185</v>
      </c>
      <c r="L1792" s="243" t="n"/>
      <c r="M1792" s="243" t="n"/>
    </row>
    <row r="1793">
      <c r="K1793" s="651" t="n">
        <v>0.02061342592592593</v>
      </c>
      <c r="L1793" s="243" t="n"/>
      <c r="M1793" s="243" t="n"/>
    </row>
    <row r="1794">
      <c r="K1794" s="651" t="n">
        <v>0.020625</v>
      </c>
      <c r="L1794" s="243" t="n"/>
      <c r="M1794" s="243" t="n"/>
    </row>
    <row r="1795">
      <c r="K1795" s="651" t="n">
        <v>0.02063657407407407</v>
      </c>
      <c r="L1795" s="243" t="n"/>
      <c r="M1795" s="243" t="n"/>
    </row>
    <row r="1796">
      <c r="K1796" s="651" t="n">
        <v>0.02064814814814815</v>
      </c>
      <c r="L1796" s="243" t="n"/>
      <c r="M1796" s="243" t="n"/>
    </row>
    <row r="1797">
      <c r="K1797" s="651" t="n">
        <v>0.02065972222222222</v>
      </c>
      <c r="L1797" s="243" t="n"/>
      <c r="M1797" s="243" t="n"/>
    </row>
    <row r="1798">
      <c r="K1798" s="651" t="n">
        <v>0.0206712962962963</v>
      </c>
      <c r="L1798" s="243" t="n"/>
      <c r="M1798" s="243" t="n"/>
    </row>
    <row r="1799">
      <c r="K1799" s="651" t="n">
        <v>0.02068287037037037</v>
      </c>
      <c r="L1799" s="243" t="n"/>
      <c r="M1799" s="243" t="n"/>
    </row>
    <row r="1800">
      <c r="K1800" s="651" t="n">
        <v>0.02069444444444445</v>
      </c>
      <c r="L1800" s="243" t="n"/>
      <c r="M1800" s="243" t="n"/>
    </row>
    <row r="1801">
      <c r="K1801" s="651" t="n">
        <v>0.02070601851851852</v>
      </c>
      <c r="L1801" s="243" t="n"/>
      <c r="M1801" s="243" t="n"/>
    </row>
    <row r="1802">
      <c r="K1802" s="651" t="n">
        <v>0.02071759259259259</v>
      </c>
      <c r="L1802" s="243" t="n"/>
      <c r="M1802" s="243" t="n"/>
    </row>
    <row r="1803">
      <c r="K1803" s="651" t="n">
        <v>0.02072916666666667</v>
      </c>
      <c r="L1803" s="243" t="n"/>
      <c r="M1803" s="243" t="n"/>
    </row>
    <row r="1804">
      <c r="K1804" s="651" t="n">
        <v>0.02074074074074074</v>
      </c>
      <c r="L1804" s="243" t="n"/>
      <c r="M1804" s="243" t="n"/>
    </row>
    <row r="1805">
      <c r="K1805" s="651" t="n">
        <v>0.02075231481481481</v>
      </c>
      <c r="L1805" s="243" t="n"/>
      <c r="M1805" s="243" t="n"/>
    </row>
    <row r="1806">
      <c r="K1806" s="651" t="n">
        <v>0.02076388888888889</v>
      </c>
      <c r="L1806" s="243" t="n"/>
      <c r="M1806" s="243" t="n"/>
    </row>
    <row r="1807">
      <c r="K1807" s="651" t="n">
        <v>0.02077546296296296</v>
      </c>
      <c r="L1807" s="243" t="n"/>
      <c r="M1807" s="243" t="n"/>
    </row>
    <row r="1808">
      <c r="K1808" s="651" t="n">
        <v>0.02078703703703704</v>
      </c>
      <c r="L1808" s="243" t="n"/>
      <c r="M1808" s="243" t="n"/>
    </row>
    <row r="1809">
      <c r="K1809" s="651" t="n">
        <v>0.02079861111111111</v>
      </c>
      <c r="L1809" s="243" t="n"/>
      <c r="M1809" s="243" t="n"/>
    </row>
    <row r="1810">
      <c r="K1810" s="651" t="n">
        <v>0.02081018518518519</v>
      </c>
      <c r="L1810" s="243" t="n"/>
      <c r="M1810" s="243" t="n"/>
    </row>
    <row r="1811">
      <c r="K1811" s="651" t="n">
        <v>0.02082175925925926</v>
      </c>
      <c r="L1811" s="243" t="n"/>
      <c r="M1811" s="243" t="n"/>
    </row>
    <row r="1812">
      <c r="K1812" s="651" t="n">
        <v>0.02083333333333333</v>
      </c>
      <c r="L1812" s="243" t="n"/>
      <c r="M1812" s="243" t="n"/>
    </row>
    <row r="1813">
      <c r="K1813" s="651" t="n">
        <v>0.02084490740740741</v>
      </c>
      <c r="L1813" s="243" t="n"/>
      <c r="M1813" s="243" t="n"/>
    </row>
    <row r="1814">
      <c r="K1814" s="651" t="n">
        <v>0.02085648148148148</v>
      </c>
      <c r="L1814" s="243" t="n"/>
      <c r="M1814" s="243" t="n"/>
    </row>
    <row r="1815">
      <c r="K1815" s="651" t="n">
        <v>0.02086805555555556</v>
      </c>
      <c r="L1815" s="243" t="n"/>
      <c r="M1815" s="243" t="n"/>
    </row>
    <row r="1816">
      <c r="K1816" s="651" t="n">
        <v>0.02087962962962963</v>
      </c>
      <c r="L1816" s="243" t="n"/>
      <c r="M1816" s="243" t="n"/>
    </row>
    <row r="1817">
      <c r="K1817" s="651" t="n">
        <v>0.0208912037037037</v>
      </c>
      <c r="L1817" s="243" t="n"/>
      <c r="M1817" s="243" t="n"/>
    </row>
    <row r="1818">
      <c r="K1818" s="651" t="n">
        <v>0.02090277777777778</v>
      </c>
      <c r="L1818" s="243" t="n"/>
      <c r="M1818" s="243" t="n"/>
    </row>
    <row r="1819">
      <c r="K1819" s="651" t="n">
        <v>0.02091435185185185</v>
      </c>
      <c r="L1819" s="243" t="n"/>
      <c r="M1819" s="243" t="n"/>
    </row>
    <row r="1820">
      <c r="K1820" s="651" t="n">
        <v>0.02092592592592592</v>
      </c>
      <c r="L1820" s="243" t="n"/>
      <c r="M1820" s="243" t="n"/>
    </row>
    <row r="1821">
      <c r="K1821" s="651" t="n">
        <v>0.0209375</v>
      </c>
      <c r="L1821" s="243" t="n"/>
      <c r="M1821" s="243" t="n"/>
    </row>
    <row r="1822">
      <c r="K1822" s="651" t="n">
        <v>0.02094907407407407</v>
      </c>
      <c r="L1822" s="243" t="n"/>
      <c r="M1822" s="243" t="n"/>
    </row>
    <row r="1823">
      <c r="K1823" s="651" t="n">
        <v>0.02096064814814815</v>
      </c>
      <c r="L1823" s="243" t="n"/>
      <c r="M1823" s="243" t="n"/>
    </row>
    <row r="1824">
      <c r="K1824" s="651" t="n">
        <v>0.02097222222222222</v>
      </c>
      <c r="L1824" s="243" t="n"/>
      <c r="M1824" s="243" t="n"/>
    </row>
    <row r="1825">
      <c r="K1825" s="651" t="n">
        <v>0.0209837962962963</v>
      </c>
      <c r="L1825" s="243" t="n"/>
      <c r="M1825" s="243" t="n"/>
    </row>
    <row r="1826">
      <c r="K1826" s="651" t="n">
        <v>0.02099537037037037</v>
      </c>
      <c r="L1826" s="243" t="n"/>
      <c r="M1826" s="243" t="n"/>
    </row>
    <row r="1827">
      <c r="K1827" s="651" t="n">
        <v>0.02100694444444445</v>
      </c>
      <c r="L1827" s="243" t="n"/>
      <c r="M1827" s="243" t="n"/>
    </row>
    <row r="1828">
      <c r="K1828" s="651" t="n">
        <v>0.02101851851851852</v>
      </c>
      <c r="L1828" s="243" t="n"/>
      <c r="M1828" s="243" t="n"/>
    </row>
    <row r="1829">
      <c r="K1829" s="651" t="n">
        <v>0.02103009259259259</v>
      </c>
      <c r="L1829" s="243" t="n"/>
      <c r="M1829" s="243" t="n"/>
    </row>
    <row r="1830">
      <c r="K1830" s="651" t="n">
        <v>0.02104166666666667</v>
      </c>
      <c r="L1830" s="243" t="n"/>
      <c r="M1830" s="243" t="n"/>
    </row>
    <row r="1831">
      <c r="K1831" s="651" t="n">
        <v>0.02105324074074074</v>
      </c>
      <c r="L1831" s="243" t="n"/>
      <c r="M1831" s="243" t="n"/>
    </row>
    <row r="1832">
      <c r="K1832" s="651" t="n">
        <v>0.02106481481481481</v>
      </c>
      <c r="L1832" s="243" t="n"/>
      <c r="M1832" s="243" t="n"/>
    </row>
    <row r="1833">
      <c r="K1833" s="651" t="n">
        <v>0.02107638888888889</v>
      </c>
      <c r="L1833" s="243" t="n"/>
      <c r="M1833" s="243" t="n"/>
    </row>
    <row r="1834">
      <c r="K1834" s="651" t="n">
        <v>0.02108796296296296</v>
      </c>
      <c r="L1834" s="243" t="n"/>
      <c r="M1834" s="243" t="n"/>
    </row>
    <row r="1835">
      <c r="K1835" s="651" t="n">
        <v>0.02109953703703704</v>
      </c>
      <c r="L1835" s="243" t="n"/>
      <c r="M1835" s="243" t="n"/>
    </row>
    <row r="1836">
      <c r="K1836" s="651" t="n">
        <v>0.02111111111111111</v>
      </c>
      <c r="L1836" s="243" t="n"/>
      <c r="M1836" s="243" t="n"/>
    </row>
    <row r="1837">
      <c r="K1837" s="651" t="n">
        <v>0.02112268518518519</v>
      </c>
      <c r="L1837" s="243" t="n"/>
      <c r="M1837" s="243" t="n"/>
    </row>
    <row r="1838">
      <c r="K1838" s="651" t="n">
        <v>0.02113425925925926</v>
      </c>
      <c r="L1838" s="243" t="n"/>
      <c r="M1838" s="243" t="n"/>
    </row>
    <row r="1839">
      <c r="K1839" s="651" t="n">
        <v>0.02114583333333333</v>
      </c>
      <c r="L1839" s="243" t="n"/>
      <c r="M1839" s="243" t="n"/>
    </row>
    <row r="1840">
      <c r="K1840" s="651" t="n">
        <v>0.02115740740740741</v>
      </c>
      <c r="L1840" s="243" t="n"/>
      <c r="M1840" s="243" t="n"/>
    </row>
    <row r="1841">
      <c r="K1841" s="651" t="n">
        <v>0.02116898148148148</v>
      </c>
      <c r="L1841" s="243" t="n"/>
      <c r="M1841" s="243" t="n"/>
    </row>
    <row r="1842">
      <c r="K1842" s="651" t="n">
        <v>0.02118055555555556</v>
      </c>
      <c r="L1842" s="243" t="n"/>
      <c r="M1842" s="243" t="n"/>
    </row>
    <row r="1843">
      <c r="K1843" s="651" t="n">
        <v>0.02119212962962963</v>
      </c>
      <c r="L1843" s="243" t="n"/>
      <c r="M1843" s="243" t="n"/>
    </row>
    <row r="1844">
      <c r="K1844" s="651" t="n">
        <v>0.0212037037037037</v>
      </c>
      <c r="L1844" s="243" t="n"/>
      <c r="M1844" s="243" t="n"/>
    </row>
    <row r="1845">
      <c r="K1845" s="651" t="n">
        <v>0.02121527777777778</v>
      </c>
      <c r="L1845" s="243" t="n"/>
      <c r="M1845" s="243" t="n"/>
    </row>
    <row r="1846">
      <c r="K1846" s="651" t="n">
        <v>0.02122685185185185</v>
      </c>
      <c r="L1846" s="243" t="n"/>
      <c r="M1846" s="243" t="n"/>
    </row>
    <row r="1847">
      <c r="K1847" s="651" t="n">
        <v>0.02123842592592592</v>
      </c>
      <c r="L1847" s="243" t="n"/>
      <c r="M1847" s="243" t="n"/>
    </row>
    <row r="1848">
      <c r="K1848" s="651" t="n">
        <v>0.02125</v>
      </c>
      <c r="L1848" s="243" t="n"/>
      <c r="M1848" s="243" t="n"/>
    </row>
    <row r="1849">
      <c r="K1849" s="651" t="n">
        <v>0.02126157407407408</v>
      </c>
      <c r="L1849" s="243" t="n"/>
      <c r="M1849" s="243" t="n"/>
    </row>
    <row r="1850">
      <c r="K1850" s="651" t="n">
        <v>0.02127314814814815</v>
      </c>
      <c r="L1850" s="243" t="n"/>
      <c r="M1850" s="243" t="n"/>
    </row>
    <row r="1851">
      <c r="K1851" s="651" t="n">
        <v>0.02128472222222222</v>
      </c>
      <c r="L1851" s="243" t="n"/>
      <c r="M1851" s="243" t="n"/>
    </row>
    <row r="1852">
      <c r="K1852" s="651" t="n">
        <v>0.0212962962962963</v>
      </c>
      <c r="L1852" s="243" t="n"/>
      <c r="M1852" s="243" t="n"/>
    </row>
    <row r="1853">
      <c r="K1853" s="651" t="n">
        <v>0.02130787037037037</v>
      </c>
      <c r="L1853" s="243" t="n"/>
      <c r="M1853" s="243" t="n"/>
    </row>
    <row r="1854">
      <c r="K1854" s="651" t="n">
        <v>0.02131944444444444</v>
      </c>
      <c r="L1854" s="243" t="n"/>
      <c r="M1854" s="243" t="n"/>
    </row>
    <row r="1855">
      <c r="K1855" s="651" t="n">
        <v>0.02133101851851852</v>
      </c>
      <c r="L1855" s="243" t="n"/>
      <c r="M1855" s="243" t="n"/>
    </row>
    <row r="1856">
      <c r="K1856" s="651" t="n">
        <v>0.02134259259259259</v>
      </c>
      <c r="L1856" s="243" t="n"/>
      <c r="M1856" s="243" t="n"/>
    </row>
    <row r="1857">
      <c r="K1857" s="651" t="n">
        <v>0.02135416666666667</v>
      </c>
      <c r="L1857" s="243" t="n"/>
      <c r="M1857" s="243" t="n"/>
    </row>
    <row r="1858">
      <c r="K1858" s="651" t="n">
        <v>0.02136574074074074</v>
      </c>
      <c r="L1858" s="243" t="n"/>
      <c r="M1858" s="243" t="n"/>
    </row>
    <row r="1859">
      <c r="K1859" s="651" t="n">
        <v>0.02137731481481481</v>
      </c>
      <c r="L1859" s="243" t="n"/>
      <c r="M1859" s="243" t="n"/>
    </row>
    <row r="1860">
      <c r="K1860" s="651" t="n">
        <v>0.02138888888888889</v>
      </c>
      <c r="L1860" s="243" t="n"/>
      <c r="M1860" s="243" t="n"/>
    </row>
    <row r="1861">
      <c r="K1861" s="651" t="n">
        <v>0.02140046296296296</v>
      </c>
      <c r="L1861" s="243" t="n"/>
      <c r="M1861" s="243" t="n"/>
    </row>
    <row r="1862">
      <c r="K1862" s="651" t="n">
        <v>0.02141203703703704</v>
      </c>
      <c r="L1862" s="243" t="n"/>
      <c r="M1862" s="243" t="n"/>
    </row>
    <row r="1863">
      <c r="K1863" s="651" t="n">
        <v>0.02142361111111111</v>
      </c>
      <c r="L1863" s="243" t="n"/>
      <c r="M1863" s="243" t="n"/>
    </row>
    <row r="1864">
      <c r="K1864" s="651" t="n">
        <v>0.02143518518518519</v>
      </c>
      <c r="L1864" s="243" t="n"/>
      <c r="M1864" s="243" t="n"/>
    </row>
    <row r="1865">
      <c r="K1865" s="651" t="n">
        <v>0.02144675925925926</v>
      </c>
      <c r="L1865" s="243" t="n"/>
      <c r="M1865" s="243" t="n"/>
    </row>
    <row r="1866">
      <c r="K1866" s="651" t="n">
        <v>0.02145833333333333</v>
      </c>
      <c r="L1866" s="243" t="n"/>
      <c r="M1866" s="243" t="n"/>
    </row>
    <row r="1867">
      <c r="K1867" s="651" t="n">
        <v>0.02146990740740741</v>
      </c>
      <c r="L1867" s="243" t="n"/>
      <c r="M1867" s="243" t="n"/>
    </row>
    <row r="1868">
      <c r="K1868" s="651" t="n">
        <v>0.02148148148148148</v>
      </c>
      <c r="L1868" s="243" t="n"/>
      <c r="M1868" s="243" t="n"/>
    </row>
    <row r="1869">
      <c r="K1869" s="651" t="n">
        <v>0.02149305555555556</v>
      </c>
      <c r="L1869" s="243" t="n"/>
      <c r="M1869" s="243" t="n"/>
    </row>
    <row r="1870">
      <c r="K1870" s="651" t="n">
        <v>0.02150462962962963</v>
      </c>
      <c r="L1870" s="243" t="n"/>
      <c r="M1870" s="243" t="n"/>
    </row>
    <row r="1871">
      <c r="K1871" s="651" t="n">
        <v>0.0215162037037037</v>
      </c>
      <c r="L1871" s="243" t="n"/>
      <c r="M1871" s="243" t="n"/>
    </row>
    <row r="1872">
      <c r="K1872" s="651" t="n">
        <v>0.02152777777777778</v>
      </c>
      <c r="L1872" s="243" t="n"/>
      <c r="M1872" s="243" t="n"/>
    </row>
    <row r="1873">
      <c r="K1873" s="651" t="n">
        <v>0.02153935185185185</v>
      </c>
      <c r="L1873" s="243" t="n"/>
      <c r="M1873" s="243" t="n"/>
    </row>
    <row r="1874">
      <c r="K1874" s="651" t="n">
        <v>0.02155092592592592</v>
      </c>
      <c r="L1874" s="243" t="n"/>
      <c r="M1874" s="243" t="n"/>
    </row>
    <row r="1875">
      <c r="K1875" s="651" t="n">
        <v>0.0215625</v>
      </c>
      <c r="L1875" s="243" t="n"/>
      <c r="M1875" s="243" t="n"/>
    </row>
    <row r="1876">
      <c r="K1876" s="651" t="n">
        <v>0.02157407407407408</v>
      </c>
      <c r="L1876" s="243" t="n"/>
      <c r="M1876" s="243" t="n"/>
    </row>
    <row r="1877">
      <c r="K1877" s="651" t="n">
        <v>0.02158564814814815</v>
      </c>
      <c r="L1877" s="243" t="n"/>
      <c r="M1877" s="243" t="n"/>
    </row>
    <row r="1878">
      <c r="K1878" s="651" t="n">
        <v>0.02159722222222222</v>
      </c>
      <c r="L1878" s="243" t="n"/>
      <c r="M1878" s="243" t="n"/>
    </row>
    <row r="1879">
      <c r="K1879" s="651" t="n">
        <v>0.0216087962962963</v>
      </c>
      <c r="L1879" s="243" t="n"/>
      <c r="M1879" s="243" t="n"/>
    </row>
    <row r="1880">
      <c r="I1880" s="653" t="n"/>
      <c r="K1880" s="651" t="n">
        <v>0.02162037037037037</v>
      </c>
      <c r="L1880" s="243" t="n"/>
      <c r="M1880" s="243" t="n"/>
    </row>
    <row r="1881">
      <c r="I1881" s="653" t="n"/>
    </row>
    <row r="1882">
      <c r="I1882" s="653" t="n"/>
    </row>
    <row r="1883">
      <c r="I1883" s="653" t="n"/>
    </row>
    <row r="1884">
      <c r="I1884" s="653" t="n"/>
    </row>
    <row r="1885">
      <c r="I1885" s="653" t="n"/>
    </row>
    <row r="1886">
      <c r="I1886" s="653" t="n"/>
    </row>
    <row r="1887">
      <c r="I1887" s="653" t="n"/>
    </row>
    <row r="1888">
      <c r="I1888" s="653" t="n"/>
    </row>
    <row r="1889">
      <c r="I1889" s="653" t="n"/>
    </row>
    <row r="1890">
      <c r="I1890" s="653" t="n"/>
    </row>
    <row r="1891">
      <c r="I1891" s="653" t="n"/>
    </row>
    <row r="1892">
      <c r="I1892" s="653" t="n"/>
    </row>
    <row r="1893">
      <c r="I1893" s="653" t="n"/>
    </row>
    <row r="1894">
      <c r="I1894" s="653" t="n"/>
    </row>
    <row r="1895">
      <c r="I1895" s="653" t="n"/>
    </row>
    <row r="1896">
      <c r="I1896" s="653" t="n"/>
    </row>
    <row r="1897">
      <c r="I1897" s="653" t="n"/>
    </row>
    <row r="1898">
      <c r="I1898" s="653" t="n"/>
    </row>
    <row r="1899">
      <c r="I1899" s="653" t="n"/>
    </row>
    <row r="1900">
      <c r="I1900" s="653" t="n"/>
    </row>
    <row r="1901">
      <c r="I1901" s="653" t="n"/>
    </row>
    <row r="1902">
      <c r="I1902" s="653" t="n"/>
    </row>
    <row r="1903">
      <c r="I1903" s="653" t="n"/>
    </row>
    <row r="1904">
      <c r="I1904" s="653" t="n"/>
    </row>
    <row r="1905">
      <c r="I1905" s="653" t="n"/>
    </row>
    <row r="1906">
      <c r="I1906" s="653" t="n"/>
    </row>
    <row r="1907">
      <c r="I1907" s="653" t="n"/>
    </row>
    <row r="1908">
      <c r="I1908" s="653" t="n"/>
    </row>
    <row r="1909">
      <c r="I1909" s="653" t="n"/>
    </row>
    <row r="1910">
      <c r="I1910" s="653" t="n"/>
    </row>
    <row r="1911">
      <c r="I1911" s="653" t="n"/>
    </row>
    <row r="1912">
      <c r="I1912" s="653" t="n"/>
    </row>
    <row r="1913">
      <c r="I1913" s="653" t="n"/>
    </row>
    <row r="1914">
      <c r="I1914" s="653" t="n"/>
    </row>
    <row r="1915">
      <c r="I1915" s="653" t="n"/>
    </row>
    <row r="1916">
      <c r="I1916" s="653" t="n"/>
    </row>
    <row r="1917">
      <c r="I1917" s="653" t="n"/>
    </row>
    <row r="1918">
      <c r="I1918" s="653" t="n"/>
    </row>
    <row r="1919">
      <c r="I1919" s="653" t="n"/>
    </row>
    <row r="1920">
      <c r="I1920" s="653" t="n"/>
    </row>
    <row r="1921">
      <c r="I1921" s="653" t="n"/>
    </row>
    <row r="1922">
      <c r="I1922" s="653" t="n"/>
    </row>
    <row r="1923">
      <c r="I1923" s="653" t="n"/>
    </row>
    <row r="1924">
      <c r="I1924" s="653" t="n"/>
    </row>
    <row r="1925">
      <c r="I1925" s="653" t="n"/>
    </row>
    <row r="1926">
      <c r="I1926" s="653" t="n"/>
    </row>
    <row r="1927">
      <c r="I1927" s="653" t="n"/>
    </row>
    <row r="1928">
      <c r="I1928" s="653" t="n"/>
    </row>
    <row r="1929">
      <c r="I1929" s="653" t="n"/>
    </row>
    <row r="1930">
      <c r="I1930" s="653" t="n"/>
    </row>
    <row r="1931">
      <c r="I1931" s="653" t="n"/>
    </row>
    <row r="1932">
      <c r="I1932" s="653" t="n"/>
    </row>
    <row r="1933">
      <c r="I1933" s="653" t="n"/>
    </row>
    <row r="1934">
      <c r="I1934" s="653" t="n"/>
    </row>
    <row r="1935">
      <c r="I1935" s="653" t="n"/>
    </row>
    <row r="1936">
      <c r="I1936" s="653" t="n"/>
    </row>
    <row r="1937">
      <c r="I1937" s="653" t="n"/>
    </row>
    <row r="1938">
      <c r="I1938" s="653" t="n"/>
    </row>
    <row r="1939">
      <c r="I1939" s="653" t="n"/>
    </row>
    <row r="1940">
      <c r="I1940" s="653" t="n"/>
    </row>
    <row r="1941">
      <c r="I1941" s="653" t="n"/>
    </row>
    <row r="1942">
      <c r="I1942" s="653" t="n"/>
    </row>
    <row r="1943">
      <c r="I1943" s="653" t="n"/>
    </row>
    <row r="1944">
      <c r="I1944" s="653" t="n"/>
    </row>
    <row r="1945">
      <c r="I1945" s="653" t="n"/>
    </row>
    <row r="1946">
      <c r="I1946" s="653" t="n"/>
    </row>
    <row r="1947">
      <c r="I1947" s="653" t="n"/>
    </row>
    <row r="1948">
      <c r="I1948" s="653" t="n"/>
    </row>
    <row r="1949">
      <c r="I1949" s="653" t="n"/>
    </row>
    <row r="1950">
      <c r="I1950" s="653" t="n"/>
    </row>
    <row r="1951">
      <c r="I1951" s="653" t="n"/>
    </row>
    <row r="1952">
      <c r="I1952" s="653" t="n"/>
    </row>
    <row r="1953">
      <c r="I1953" s="653" t="n"/>
    </row>
    <row r="1954">
      <c r="I1954" s="653" t="n"/>
    </row>
    <row r="1955">
      <c r="I1955" s="653" t="n"/>
    </row>
    <row r="1956">
      <c r="I1956" s="653" t="n"/>
    </row>
    <row r="1957">
      <c r="I1957" s="653" t="n"/>
    </row>
    <row r="1958">
      <c r="I1958" s="653" t="n"/>
    </row>
    <row r="1959">
      <c r="I1959" s="653" t="n"/>
    </row>
    <row r="1960">
      <c r="I1960" s="653" t="n"/>
    </row>
    <row r="1961">
      <c r="I1961" s="653" t="n"/>
    </row>
    <row r="1962">
      <c r="I1962" s="653" t="n"/>
    </row>
    <row r="1963">
      <c r="I1963" s="653" t="n"/>
    </row>
    <row r="1964">
      <c r="I1964" s="653" t="n"/>
    </row>
    <row r="1965">
      <c r="I1965" s="653" t="n"/>
    </row>
    <row r="1966">
      <c r="I1966" s="653" t="n"/>
    </row>
    <row r="1967">
      <c r="I1967" s="653" t="n"/>
    </row>
    <row r="1968">
      <c r="I1968" s="653" t="n"/>
    </row>
    <row r="1969">
      <c r="I1969" s="653" t="n"/>
    </row>
    <row r="1970">
      <c r="I1970" s="653" t="n"/>
    </row>
    <row r="1971">
      <c r="F1971" s="653" t="n"/>
      <c r="I1971" s="653" t="n"/>
    </row>
    <row r="1972">
      <c r="F1972" s="653" t="n"/>
      <c r="I1972" s="653" t="n"/>
    </row>
    <row r="1973">
      <c r="F1973" s="653" t="n"/>
      <c r="I1973" s="653" t="n"/>
    </row>
    <row r="1974">
      <c r="F1974" s="653" t="n"/>
      <c r="I1974" s="653" t="n"/>
    </row>
    <row r="1975">
      <c r="F1975" s="653" t="n"/>
      <c r="I1975" s="653" t="n"/>
    </row>
    <row r="1976">
      <c r="F1976" s="653" t="n"/>
      <c r="I1976" s="653" t="n"/>
    </row>
    <row r="1977">
      <c r="F1977" s="653" t="n"/>
      <c r="I1977" s="653" t="n"/>
    </row>
    <row r="1978">
      <c r="F1978" s="653" t="n"/>
      <c r="I1978" s="653" t="n"/>
    </row>
    <row r="1979">
      <c r="F1979" s="653" t="n"/>
      <c r="I1979" s="653" t="n"/>
    </row>
    <row r="1980">
      <c r="F1980" s="653" t="n"/>
    </row>
    <row r="1981">
      <c r="F1981" s="653" t="n"/>
    </row>
    <row r="1982">
      <c r="F1982" s="653" t="n"/>
    </row>
    <row r="1983">
      <c r="F1983" s="653" t="n"/>
    </row>
    <row r="1984">
      <c r="F1984" s="653" t="n"/>
    </row>
    <row r="1985">
      <c r="F1985" s="653" t="n"/>
    </row>
    <row r="1986">
      <c r="F1986" s="653" t="n"/>
    </row>
    <row r="1987">
      <c r="F1987" s="653" t="n"/>
    </row>
    <row r="1988">
      <c r="F1988" s="653" t="n"/>
    </row>
    <row r="1989">
      <c r="F1989" s="653" t="n"/>
    </row>
    <row r="1990">
      <c r="F1990" s="653" t="n"/>
    </row>
    <row r="1991">
      <c r="F1991" s="653" t="n"/>
    </row>
    <row r="1992">
      <c r="F1992" s="653" t="n"/>
    </row>
    <row r="1993">
      <c r="F1993" s="653" t="n"/>
    </row>
    <row r="1994">
      <c r="F1994" s="653" t="n"/>
    </row>
    <row r="1995">
      <c r="F1995" s="653" t="n"/>
    </row>
    <row r="1996">
      <c r="F1996" s="653" t="n"/>
    </row>
    <row r="1997">
      <c r="F1997" s="653" t="n"/>
    </row>
    <row r="1998">
      <c r="F1998" s="653" t="n"/>
    </row>
    <row r="1999">
      <c r="F1999" s="653" t="n"/>
    </row>
    <row r="2000">
      <c r="F2000" s="653" t="n"/>
    </row>
    <row r="2001">
      <c r="F2001" s="653" t="n"/>
    </row>
    <row r="2002">
      <c r="F2002" s="653" t="n"/>
    </row>
    <row r="2003">
      <c r="F2003" s="653" t="n"/>
    </row>
    <row r="2004">
      <c r="F2004" s="653" t="n"/>
    </row>
    <row r="2005">
      <c r="F2005" s="653" t="n"/>
    </row>
    <row r="2006">
      <c r="F2006" s="653" t="n"/>
    </row>
    <row r="2007">
      <c r="F2007" s="653" t="n"/>
    </row>
    <row r="2008">
      <c r="F2008" s="653" t="n"/>
    </row>
    <row r="2009">
      <c r="F2009" s="653" t="n"/>
    </row>
    <row r="2010">
      <c r="F2010" s="653" t="n"/>
    </row>
    <row r="2011">
      <c r="F2011" s="653" t="n"/>
    </row>
    <row r="2012">
      <c r="F2012" s="653" t="n"/>
    </row>
    <row r="2013">
      <c r="F2013" s="653" t="n"/>
    </row>
    <row r="2014">
      <c r="F2014" s="653" t="n"/>
    </row>
    <row r="2015">
      <c r="F2015" s="653" t="n"/>
    </row>
    <row r="2016">
      <c r="F2016" s="653" t="n"/>
    </row>
    <row r="2017">
      <c r="F2017" s="653" t="n"/>
    </row>
    <row r="2018">
      <c r="F2018" s="653" t="n"/>
    </row>
    <row r="2019">
      <c r="F2019" s="653" t="n"/>
    </row>
    <row r="2020">
      <c r="F2020" s="653" t="n"/>
    </row>
    <row r="2021">
      <c r="F2021" s="653" t="n"/>
    </row>
    <row r="2022">
      <c r="F2022" s="653" t="n"/>
    </row>
    <row r="2023">
      <c r="F2023" s="653" t="n"/>
    </row>
    <row r="2024">
      <c r="F2024" s="653" t="n"/>
    </row>
    <row r="2025">
      <c r="F2025" s="653" t="n"/>
    </row>
    <row r="2026">
      <c r="F2026" s="653" t="n"/>
    </row>
    <row r="2027">
      <c r="F2027" s="653" t="n"/>
    </row>
    <row r="2028">
      <c r="F2028" s="653" t="n"/>
    </row>
    <row r="2029">
      <c r="F2029" s="653" t="n"/>
    </row>
    <row r="2030">
      <c r="F2030" s="653" t="n"/>
    </row>
    <row r="2031">
      <c r="F2031" s="653" t="n"/>
    </row>
    <row r="2032">
      <c r="F2032" s="653" t="n"/>
    </row>
    <row r="2033">
      <c r="F2033" s="653" t="n"/>
    </row>
    <row r="2034">
      <c r="F2034" s="653" t="n"/>
    </row>
    <row r="2035">
      <c r="F2035" s="653" t="n"/>
    </row>
    <row r="2036">
      <c r="F2036" s="653" t="n"/>
    </row>
    <row r="2037">
      <c r="F2037" s="653" t="n"/>
    </row>
    <row r="2038">
      <c r="F2038" s="653" t="n"/>
    </row>
    <row r="2039">
      <c r="F2039" s="653" t="n"/>
    </row>
    <row r="2040">
      <c r="F2040" s="653" t="n"/>
    </row>
    <row r="2041">
      <c r="F2041" s="653" t="n"/>
    </row>
    <row r="2042">
      <c r="F2042" s="653" t="n"/>
    </row>
    <row r="2043">
      <c r="F2043" s="653" t="n"/>
    </row>
    <row r="2044">
      <c r="F2044" s="653" t="n"/>
    </row>
    <row r="2045">
      <c r="F2045" s="653" t="n"/>
    </row>
    <row r="2046">
      <c r="F2046" s="653" t="n"/>
    </row>
    <row r="2047">
      <c r="F2047" s="653" t="n"/>
    </row>
    <row r="2048">
      <c r="F2048" s="653" t="n"/>
    </row>
    <row r="2049">
      <c r="F2049" s="653" t="n"/>
    </row>
    <row r="2050">
      <c r="F2050" s="653" t="n"/>
    </row>
    <row r="2051">
      <c r="F2051" s="653" t="n"/>
    </row>
    <row r="2052">
      <c r="F2052" s="653" t="n"/>
    </row>
    <row r="2053">
      <c r="F2053" s="653" t="n"/>
    </row>
    <row r="2054">
      <c r="F2054" s="653" t="n"/>
    </row>
    <row r="2055">
      <c r="F2055" s="653" t="n"/>
    </row>
    <row r="2056">
      <c r="F2056" s="653" t="n"/>
    </row>
    <row r="2057">
      <c r="F2057" s="653" t="n"/>
    </row>
    <row r="2058">
      <c r="F2058" s="653" t="n"/>
    </row>
    <row r="2059">
      <c r="F2059" s="653" t="n"/>
    </row>
    <row r="2060">
      <c r="F2060" s="653" t="n"/>
    </row>
    <row r="2061">
      <c r="F2061" s="653" t="n"/>
    </row>
    <row r="2062">
      <c r="F2062" s="653" t="n"/>
    </row>
    <row r="2063">
      <c r="F2063" s="653" t="n"/>
    </row>
    <row r="2064">
      <c r="F2064" s="653" t="n"/>
    </row>
    <row r="2065">
      <c r="F2065" s="653" t="n"/>
    </row>
    <row r="2066">
      <c r="F2066" s="653" t="n"/>
    </row>
    <row r="2067">
      <c r="F2067" s="653" t="n"/>
    </row>
    <row r="2068">
      <c r="F2068" s="653" t="n"/>
    </row>
    <row r="2069">
      <c r="F2069" s="653" t="n"/>
    </row>
    <row r="2070">
      <c r="F2070" s="653" t="n"/>
    </row>
    <row r="2071">
      <c r="F2071" s="653" t="n"/>
    </row>
    <row r="2072">
      <c r="F2072" s="653" t="n"/>
    </row>
    <row r="2073">
      <c r="F2073" s="653" t="n"/>
    </row>
    <row r="2074">
      <c r="F2074" s="653" t="n"/>
    </row>
    <row r="2075">
      <c r="F2075" s="653" t="n"/>
    </row>
    <row r="2076">
      <c r="F2076" s="653" t="n"/>
    </row>
    <row r="2077">
      <c r="F2077" s="653" t="n"/>
    </row>
    <row r="2078">
      <c r="F2078" s="653" t="n"/>
    </row>
    <row r="2079">
      <c r="F2079" s="653" t="n"/>
    </row>
    <row r="2080">
      <c r="F2080" s="653" t="n"/>
    </row>
    <row r="2081">
      <c r="F2081" s="653" t="n"/>
    </row>
    <row r="2082">
      <c r="F2082" s="653" t="n"/>
    </row>
    <row r="2083">
      <c r="F2083" s="653" t="n"/>
    </row>
    <row r="2084">
      <c r="F2084" s="653" t="n"/>
    </row>
    <row r="2085">
      <c r="F2085" s="653" t="n"/>
    </row>
    <row r="2086">
      <c r="F2086" s="653" t="n"/>
    </row>
    <row r="2087">
      <c r="F2087" s="653" t="n"/>
    </row>
    <row r="2088">
      <c r="F2088" s="653" t="n"/>
    </row>
    <row r="2089">
      <c r="F2089" s="653" t="n"/>
    </row>
    <row r="2090">
      <c r="F2090" s="653" t="n"/>
    </row>
    <row r="2091">
      <c r="F2091" s="653" t="n"/>
    </row>
    <row r="2092">
      <c r="F2092" s="653" t="n"/>
    </row>
    <row r="2093">
      <c r="F2093" s="653" t="n"/>
    </row>
    <row r="2094">
      <c r="F2094" s="653" t="n"/>
    </row>
    <row r="2095">
      <c r="F2095" s="653" t="n"/>
    </row>
    <row r="2096">
      <c r="F2096" s="653" t="n"/>
    </row>
    <row r="2097">
      <c r="F2097" s="653" t="n"/>
    </row>
    <row r="2098">
      <c r="F2098" s="653" t="n"/>
    </row>
    <row r="2099">
      <c r="F2099" s="653" t="n"/>
    </row>
    <row r="2100">
      <c r="F2100" s="653" t="n"/>
    </row>
    <row r="2101">
      <c r="F2101" s="653" t="n"/>
    </row>
    <row r="2102">
      <c r="F2102" s="653" t="n"/>
    </row>
    <row r="2103">
      <c r="F2103" s="653" t="n"/>
    </row>
    <row r="2104">
      <c r="F2104" s="653" t="n"/>
    </row>
    <row r="2105">
      <c r="F2105" s="653" t="n"/>
    </row>
    <row r="2106">
      <c r="F2106" s="653" t="n"/>
    </row>
    <row r="2107">
      <c r="F2107" s="653" t="n"/>
    </row>
    <row r="2108">
      <c r="F2108" s="653" t="n"/>
    </row>
    <row r="2109">
      <c r="F2109" s="653" t="n"/>
    </row>
    <row r="2110">
      <c r="F2110" s="653" t="n"/>
    </row>
    <row r="2111">
      <c r="F2111" s="653" t="n"/>
    </row>
    <row r="2112">
      <c r="F2112" s="653" t="n"/>
    </row>
    <row r="2113">
      <c r="F2113" s="653" t="n"/>
    </row>
    <row r="2114">
      <c r="F2114" s="653" t="n"/>
    </row>
    <row r="2115">
      <c r="F2115" s="653" t="n"/>
    </row>
    <row r="2116">
      <c r="F2116" s="653" t="n"/>
    </row>
    <row r="2117">
      <c r="F2117" s="653" t="n"/>
    </row>
    <row r="2118">
      <c r="F2118" s="653" t="n"/>
    </row>
    <row r="2119">
      <c r="F2119" s="653" t="n"/>
    </row>
    <row r="2120">
      <c r="F2120" s="653" t="n"/>
    </row>
    <row r="2121">
      <c r="F2121" s="653" t="n"/>
    </row>
    <row r="2122">
      <c r="F2122" s="653" t="n"/>
    </row>
    <row r="2123">
      <c r="F2123" s="653" t="n"/>
    </row>
    <row r="2124">
      <c r="F2124" s="653" t="n"/>
    </row>
    <row r="2125">
      <c r="F2125" s="653" t="n"/>
    </row>
    <row r="2126">
      <c r="F2126" s="653" t="n"/>
    </row>
    <row r="2127">
      <c r="F2127" s="653" t="n"/>
    </row>
    <row r="2128">
      <c r="F2128" s="653" t="n"/>
    </row>
    <row r="2129">
      <c r="F2129" s="653" t="n"/>
    </row>
    <row r="2130">
      <c r="F2130" s="653" t="n"/>
    </row>
    <row r="2131">
      <c r="F2131" s="653" t="n"/>
    </row>
    <row r="2132">
      <c r="F2132" s="653" t="n"/>
    </row>
    <row r="2133">
      <c r="F2133" s="653" t="n"/>
    </row>
    <row r="2134">
      <c r="F2134" s="653" t="n"/>
    </row>
    <row r="2135">
      <c r="F2135" s="653" t="n"/>
    </row>
    <row r="2136">
      <c r="F2136" s="653" t="n"/>
    </row>
    <row r="2137">
      <c r="F2137" s="653" t="n"/>
    </row>
    <row r="2138">
      <c r="F2138" s="653" t="n"/>
    </row>
    <row r="2139">
      <c r="F2139" s="653" t="n"/>
    </row>
    <row r="2140">
      <c r="F2140" s="653" t="n"/>
    </row>
    <row r="2141">
      <c r="F2141" s="653" t="n"/>
    </row>
    <row r="2142">
      <c r="F2142" s="653" t="n"/>
    </row>
    <row r="2143">
      <c r="F2143" s="653" t="n"/>
    </row>
    <row r="2144">
      <c r="F2144" s="653" t="n"/>
    </row>
    <row r="2145">
      <c r="F2145" s="653" t="n"/>
    </row>
    <row r="2146">
      <c r="F2146" s="653" t="n"/>
    </row>
    <row r="2147">
      <c r="F2147" s="653" t="n"/>
    </row>
    <row r="2148">
      <c r="F2148" s="653" t="n"/>
    </row>
    <row r="2149">
      <c r="F2149" s="653" t="n"/>
    </row>
    <row r="2150">
      <c r="F2150" s="653" t="n"/>
    </row>
    <row r="2151">
      <c r="F2151" s="653" t="n"/>
    </row>
    <row r="2152">
      <c r="F2152" s="653" t="n"/>
    </row>
    <row r="2153">
      <c r="F2153" s="653" t="n"/>
    </row>
    <row r="2154">
      <c r="F2154" s="653" t="n"/>
    </row>
    <row r="2155">
      <c r="F2155" s="653" t="n"/>
    </row>
    <row r="2156">
      <c r="F2156" s="653" t="n"/>
    </row>
    <row r="2157">
      <c r="F2157" s="653" t="n"/>
    </row>
    <row r="2158">
      <c r="F2158" s="653" t="n"/>
    </row>
    <row r="2159">
      <c r="F2159" s="653" t="n"/>
    </row>
    <row r="2160">
      <c r="F2160" s="653" t="n"/>
    </row>
    <row r="2161">
      <c r="F2161" s="653" t="n"/>
    </row>
    <row r="2162">
      <c r="F2162" s="653" t="n"/>
    </row>
    <row r="2163">
      <c r="F2163" s="653" t="n"/>
    </row>
    <row r="2164">
      <c r="F2164" s="653" t="n"/>
    </row>
    <row r="2165">
      <c r="F2165" s="653" t="n"/>
    </row>
    <row r="2166">
      <c r="F2166" s="653" t="n"/>
    </row>
    <row r="2167">
      <c r="F2167" s="653" t="n"/>
    </row>
    <row r="2168">
      <c r="F2168" s="653" t="n"/>
    </row>
    <row r="2169">
      <c r="F2169" s="653" t="n"/>
    </row>
    <row r="2170">
      <c r="F2170" s="653" t="n"/>
    </row>
    <row r="2171">
      <c r="F2171" s="653" t="n"/>
    </row>
    <row r="2172">
      <c r="F2172" s="653" t="n"/>
    </row>
    <row r="2173">
      <c r="F2173" s="653" t="n"/>
    </row>
    <row r="2174">
      <c r="F2174" s="653" t="n"/>
    </row>
    <row r="2175">
      <c r="F2175" s="653" t="n"/>
    </row>
    <row r="2176">
      <c r="F2176" s="653" t="n"/>
    </row>
    <row r="2177">
      <c r="F2177" s="653" t="n"/>
    </row>
    <row r="2178">
      <c r="F2178" s="653" t="n"/>
    </row>
    <row r="2179">
      <c r="F2179" s="653" t="n"/>
    </row>
    <row r="2180">
      <c r="F2180" s="653" t="n"/>
    </row>
    <row r="2181">
      <c r="F2181" s="653" t="n"/>
    </row>
    <row r="2182">
      <c r="F2182" s="653" t="n"/>
    </row>
    <row r="2183">
      <c r="F2183" s="653" t="n"/>
    </row>
    <row r="2184">
      <c r="F2184" s="653" t="n"/>
    </row>
    <row r="2185">
      <c r="F2185" s="653" t="n"/>
    </row>
    <row r="2186">
      <c r="F2186" s="653" t="n"/>
    </row>
    <row r="2187">
      <c r="F2187" s="653" t="n"/>
    </row>
    <row r="2188">
      <c r="F2188" s="653" t="n"/>
    </row>
    <row r="2189">
      <c r="F2189" s="653" t="n"/>
    </row>
    <row r="2190">
      <c r="F2190" s="653" t="n"/>
    </row>
    <row r="2191">
      <c r="F2191" s="653" t="n"/>
    </row>
    <row r="2192">
      <c r="F2192" s="653" t="n"/>
    </row>
    <row r="2193">
      <c r="F2193" s="653" t="n"/>
    </row>
    <row r="2194">
      <c r="F2194" s="653" t="n"/>
    </row>
    <row r="2195">
      <c r="F2195" s="653" t="n"/>
    </row>
    <row r="2196">
      <c r="F2196" s="653" t="n"/>
    </row>
    <row r="2197">
      <c r="F2197" s="653" t="n"/>
    </row>
    <row r="2198">
      <c r="F2198" s="653" t="n"/>
    </row>
    <row r="2199">
      <c r="F2199" s="653" t="n"/>
    </row>
    <row r="2200">
      <c r="F2200" s="653" t="n"/>
    </row>
    <row r="2201">
      <c r="F2201" s="653" t="n"/>
    </row>
    <row r="2202">
      <c r="F2202" s="653" t="n"/>
    </row>
    <row r="2203">
      <c r="F2203" s="653" t="n"/>
    </row>
    <row r="2204">
      <c r="F2204" s="653" t="n"/>
    </row>
    <row r="2205">
      <c r="F2205" s="653" t="n"/>
    </row>
    <row r="2206">
      <c r="F2206" s="653" t="n"/>
    </row>
    <row r="2207">
      <c r="F2207" s="653" t="n"/>
    </row>
    <row r="2208">
      <c r="F2208" s="653" t="n"/>
    </row>
    <row r="2209">
      <c r="F2209" s="653" t="n"/>
    </row>
    <row r="2210">
      <c r="F2210" s="653" t="n"/>
    </row>
    <row r="2211">
      <c r="F2211" s="653" t="n"/>
    </row>
    <row r="2212">
      <c r="F2212" s="653" t="n"/>
    </row>
    <row r="2213">
      <c r="F2213" s="653" t="n"/>
    </row>
    <row r="2214">
      <c r="F2214" s="653" t="n"/>
    </row>
    <row r="2215">
      <c r="F2215" s="653" t="n"/>
    </row>
    <row r="2216">
      <c r="F2216" s="653" t="n"/>
    </row>
    <row r="2217">
      <c r="F2217" s="653" t="n"/>
    </row>
    <row r="2218">
      <c r="F2218" s="653" t="n"/>
    </row>
    <row r="2219">
      <c r="F2219" s="653" t="n"/>
    </row>
    <row r="2220">
      <c r="F2220" s="653" t="n"/>
    </row>
    <row r="2221">
      <c r="F2221" s="653" t="n"/>
    </row>
    <row r="2222">
      <c r="F2222" s="653" t="n"/>
    </row>
    <row r="2223">
      <c r="F2223" s="653" t="n"/>
    </row>
    <row r="2224">
      <c r="F2224" s="653" t="n"/>
    </row>
    <row r="2225">
      <c r="F2225" s="653" t="n"/>
    </row>
    <row r="2226">
      <c r="F2226" s="653" t="n"/>
    </row>
    <row r="2227">
      <c r="F2227" s="653" t="n"/>
    </row>
    <row r="2228">
      <c r="F2228" s="653" t="n"/>
    </row>
    <row r="2229">
      <c r="F2229" s="653" t="n"/>
    </row>
    <row r="2230">
      <c r="F2230" s="653" t="n"/>
    </row>
    <row r="2231">
      <c r="F2231" s="653" t="n"/>
    </row>
    <row r="2232">
      <c r="F2232" s="653" t="n"/>
    </row>
    <row r="2233">
      <c r="F2233" s="653" t="n"/>
    </row>
    <row r="2234">
      <c r="F2234" s="653" t="n"/>
    </row>
    <row r="2235">
      <c r="F2235" s="653" t="n"/>
    </row>
    <row r="2236">
      <c r="F2236" s="653" t="n"/>
    </row>
    <row r="2237">
      <c r="F2237" s="653" t="n"/>
    </row>
    <row r="2238">
      <c r="F2238" s="653" t="n"/>
    </row>
    <row r="2239">
      <c r="F2239" s="653" t="n"/>
    </row>
    <row r="2240">
      <c r="F2240" s="653" t="n"/>
    </row>
    <row r="2241">
      <c r="F2241" s="653" t="n"/>
    </row>
    <row r="2242">
      <c r="F2242" s="653" t="n"/>
    </row>
    <row r="2243">
      <c r="F2243" s="653" t="n"/>
    </row>
    <row r="2244">
      <c r="F2244" s="653" t="n"/>
    </row>
    <row r="2245">
      <c r="F2245" s="653" t="n"/>
    </row>
    <row r="2246">
      <c r="F2246" s="653" t="n"/>
    </row>
    <row r="2247">
      <c r="F2247" s="653" t="n"/>
    </row>
    <row r="2248">
      <c r="F2248" s="653" t="n"/>
    </row>
    <row r="2249">
      <c r="F2249" s="653" t="n"/>
    </row>
    <row r="2250">
      <c r="F2250" s="653" t="n"/>
    </row>
    <row r="2251">
      <c r="F2251" s="653" t="n"/>
    </row>
    <row r="2252">
      <c r="F2252" s="653" t="n"/>
    </row>
    <row r="2253">
      <c r="F2253" s="653" t="n"/>
    </row>
    <row r="2254">
      <c r="F2254" s="653" t="n"/>
    </row>
    <row r="2255">
      <c r="F2255" s="653" t="n"/>
    </row>
    <row r="2256">
      <c r="F2256" s="653" t="n"/>
    </row>
    <row r="2257">
      <c r="F2257" s="653" t="n"/>
    </row>
    <row r="2258">
      <c r="F2258" s="653" t="n"/>
    </row>
    <row r="2259">
      <c r="F2259" s="653" t="n"/>
    </row>
    <row r="2260">
      <c r="F2260" s="653" t="n"/>
    </row>
    <row r="2261">
      <c r="F2261" s="653" t="n"/>
    </row>
    <row r="2262">
      <c r="F2262" s="653" t="n"/>
    </row>
    <row r="2263">
      <c r="F2263" s="653" t="n"/>
    </row>
    <row r="2264">
      <c r="F2264" s="653" t="n"/>
    </row>
    <row r="2265">
      <c r="F2265" s="653" t="n"/>
    </row>
    <row r="2266">
      <c r="F2266" s="653" t="n"/>
    </row>
    <row r="2267">
      <c r="F2267" s="653" t="n"/>
    </row>
    <row r="2268">
      <c r="F2268" s="653" t="n"/>
    </row>
    <row r="2269">
      <c r="F2269" s="653" t="n"/>
    </row>
    <row r="2270">
      <c r="F2270" s="653" t="n"/>
    </row>
    <row r="2271">
      <c r="F2271" s="653" t="n"/>
    </row>
    <row r="2272">
      <c r="F2272" s="653" t="n"/>
    </row>
    <row r="2273">
      <c r="F2273" s="653" t="n"/>
    </row>
    <row r="2274">
      <c r="F2274" s="653" t="n"/>
    </row>
    <row r="2275">
      <c r="F2275" s="653" t="n"/>
    </row>
    <row r="2276">
      <c r="F2276" s="653" t="n"/>
    </row>
    <row r="2277">
      <c r="F2277" s="653" t="n"/>
    </row>
    <row r="2278">
      <c r="F2278" s="653" t="n"/>
    </row>
    <row r="2279">
      <c r="F2279" s="653" t="n"/>
    </row>
    <row r="2280">
      <c r="F2280" s="653" t="n"/>
    </row>
    <row r="2281">
      <c r="F2281" s="653" t="n"/>
    </row>
    <row r="2282">
      <c r="F2282" s="653" t="n"/>
    </row>
    <row r="2283">
      <c r="F2283" s="653" t="n"/>
    </row>
    <row r="2284">
      <c r="F2284" s="653" t="n"/>
    </row>
    <row r="2285">
      <c r="F2285" s="653" t="n"/>
    </row>
    <row r="2286">
      <c r="F2286" s="653" t="n"/>
    </row>
    <row r="2287">
      <c r="F2287" s="653" t="n"/>
    </row>
    <row r="2288">
      <c r="F2288" s="653" t="n"/>
    </row>
    <row r="2289">
      <c r="F2289" s="653" t="n"/>
    </row>
    <row r="2290">
      <c r="F2290" s="653" t="n"/>
    </row>
    <row r="2291">
      <c r="F2291" s="653" t="n"/>
    </row>
    <row r="2292">
      <c r="F2292" s="653" t="n"/>
    </row>
    <row r="2293">
      <c r="F2293" s="653" t="n"/>
    </row>
    <row r="2294">
      <c r="F2294" s="653" t="n"/>
    </row>
    <row r="2295">
      <c r="F2295" s="653" t="n"/>
    </row>
    <row r="2296">
      <c r="F2296" s="653" t="n"/>
    </row>
    <row r="2297">
      <c r="F2297" s="653" t="n"/>
    </row>
    <row r="2298">
      <c r="F2298" s="653" t="n"/>
    </row>
    <row r="2299">
      <c r="F2299" s="653" t="n"/>
    </row>
    <row r="2300">
      <c r="F2300" s="653" t="n"/>
    </row>
    <row r="2301">
      <c r="F2301" s="653" t="n"/>
    </row>
    <row r="2302">
      <c r="F2302" s="653" t="n"/>
    </row>
    <row r="2303">
      <c r="F2303" s="653" t="n"/>
    </row>
    <row r="2304">
      <c r="F2304" s="653" t="n"/>
    </row>
    <row r="2305">
      <c r="F2305" s="653" t="n"/>
    </row>
    <row r="2306">
      <c r="F2306" s="653" t="n"/>
    </row>
    <row r="2307">
      <c r="F2307" s="653" t="n"/>
    </row>
    <row r="2308">
      <c r="F2308" s="653" t="n"/>
    </row>
    <row r="2309">
      <c r="F2309" s="653" t="n"/>
    </row>
    <row r="2310">
      <c r="F2310" s="653" t="n"/>
    </row>
    <row r="2311">
      <c r="F2311" s="653" t="n"/>
    </row>
    <row r="2312">
      <c r="F2312" s="653" t="n"/>
    </row>
    <row r="2313">
      <c r="F2313" s="653" t="n"/>
    </row>
    <row r="2314">
      <c r="F2314" s="653" t="n"/>
    </row>
    <row r="2315">
      <c r="F2315" s="653" t="n"/>
    </row>
    <row r="2316">
      <c r="F2316" s="653" t="n"/>
    </row>
    <row r="2317">
      <c r="F2317" s="653" t="n"/>
    </row>
    <row r="2318">
      <c r="F2318" s="653" t="n"/>
    </row>
    <row r="2319">
      <c r="F2319" s="653" t="n"/>
    </row>
    <row r="2320">
      <c r="F2320" s="653" t="n"/>
    </row>
    <row r="2321">
      <c r="F2321" s="653" t="n"/>
    </row>
    <row r="2322">
      <c r="F2322" s="653" t="n"/>
    </row>
    <row r="2323">
      <c r="F2323" s="653" t="n"/>
    </row>
    <row r="2324">
      <c r="F2324" s="653" t="n"/>
    </row>
    <row r="2325">
      <c r="F2325" s="653" t="n"/>
    </row>
    <row r="2326">
      <c r="F2326" s="653" t="n"/>
    </row>
    <row r="2327">
      <c r="F2327" s="653" t="n"/>
    </row>
    <row r="2328">
      <c r="F2328" s="653" t="n"/>
    </row>
    <row r="2329">
      <c r="F2329" s="653" t="n"/>
    </row>
    <row r="2330">
      <c r="F2330" s="653" t="n"/>
    </row>
    <row r="2331">
      <c r="F2331" s="653" t="n"/>
    </row>
    <row r="2332">
      <c r="F2332" s="653" t="n"/>
    </row>
    <row r="2333">
      <c r="F2333" s="653" t="n"/>
    </row>
    <row r="2334">
      <c r="F2334" s="653" t="n"/>
    </row>
    <row r="2335">
      <c r="F2335" s="653" t="n"/>
    </row>
    <row r="2336">
      <c r="F2336" s="653" t="n"/>
    </row>
    <row r="2337">
      <c r="F2337" s="653" t="n"/>
    </row>
    <row r="2338">
      <c r="F2338" s="653" t="n"/>
    </row>
    <row r="2339">
      <c r="F2339" s="653" t="n"/>
    </row>
    <row r="2340">
      <c r="F2340" s="653" t="n"/>
    </row>
    <row r="2341">
      <c r="F2341" s="653" t="n"/>
    </row>
    <row r="2342">
      <c r="F2342" s="653" t="n"/>
    </row>
    <row r="2343">
      <c r="F2343" s="653" t="n"/>
    </row>
    <row r="2344">
      <c r="F2344" s="653" t="n"/>
    </row>
    <row r="2345">
      <c r="F2345" s="653" t="n"/>
    </row>
    <row r="2346">
      <c r="F2346" s="653" t="n"/>
    </row>
    <row r="2347">
      <c r="F2347" s="653" t="n"/>
    </row>
    <row r="2348">
      <c r="F2348" s="653" t="n"/>
    </row>
    <row r="2349">
      <c r="F2349" s="653" t="n"/>
    </row>
    <row r="2350">
      <c r="F2350" s="653" t="n"/>
    </row>
    <row r="2351">
      <c r="F2351" s="653" t="n"/>
    </row>
    <row r="2352">
      <c r="F2352" s="653" t="n"/>
    </row>
    <row r="2353">
      <c r="F2353" s="653" t="n"/>
    </row>
    <row r="2354">
      <c r="F2354" s="653" t="n"/>
    </row>
    <row r="2355">
      <c r="F2355" s="653" t="n"/>
    </row>
    <row r="2356">
      <c r="F2356" s="653" t="n"/>
    </row>
    <row r="2357">
      <c r="F2357" s="653" t="n"/>
    </row>
    <row r="2358">
      <c r="F2358" s="653" t="n"/>
    </row>
    <row r="2359">
      <c r="F2359" s="653" t="n"/>
    </row>
    <row r="2360">
      <c r="F2360" s="653" t="n"/>
    </row>
    <row r="2361">
      <c r="F2361" s="653" t="n"/>
    </row>
    <row r="2362">
      <c r="F2362" s="653" t="n"/>
    </row>
    <row r="2363">
      <c r="F2363" s="653" t="n"/>
    </row>
    <row r="2364">
      <c r="F2364" s="653" t="n"/>
    </row>
    <row r="2365">
      <c r="F2365" s="653" t="n"/>
    </row>
    <row r="2366">
      <c r="F2366" s="653" t="n"/>
    </row>
    <row r="2367">
      <c r="F2367" s="653" t="n"/>
    </row>
    <row r="2368">
      <c r="F2368" s="653" t="n"/>
    </row>
    <row r="2369">
      <c r="F2369" s="653" t="n"/>
    </row>
    <row r="2370">
      <c r="F2370" s="653" t="n"/>
    </row>
    <row r="2371">
      <c r="F2371" s="653" t="n"/>
    </row>
    <row r="2372">
      <c r="F2372" s="653" t="n"/>
    </row>
    <row r="2373">
      <c r="F2373" s="653" t="n"/>
    </row>
    <row r="2374">
      <c r="F2374" s="653" t="n"/>
    </row>
    <row r="2375">
      <c r="F2375" s="653" t="n"/>
    </row>
    <row r="2376">
      <c r="F2376" s="653" t="n"/>
    </row>
    <row r="2377">
      <c r="F2377" s="653" t="n"/>
    </row>
    <row r="2378">
      <c r="F2378" s="653" t="n"/>
    </row>
    <row r="2379">
      <c r="F2379" s="653" t="n"/>
    </row>
    <row r="2380">
      <c r="F2380" s="653" t="n"/>
    </row>
    <row r="2381">
      <c r="F2381" s="653" t="n"/>
    </row>
    <row r="2382">
      <c r="F2382" s="653" t="n"/>
    </row>
    <row r="2383">
      <c r="F2383" s="653" t="n"/>
    </row>
    <row r="2384">
      <c r="F2384" s="653" t="n"/>
    </row>
    <row r="2385">
      <c r="F2385" s="653" t="n"/>
    </row>
    <row r="2386">
      <c r="F2386" s="653" t="n"/>
    </row>
    <row r="2387">
      <c r="F2387" s="653" t="n"/>
    </row>
    <row r="2388">
      <c r="F2388" s="653" t="n"/>
    </row>
    <row r="2389">
      <c r="F2389" s="653" t="n"/>
    </row>
    <row r="2390">
      <c r="F2390" s="653" t="n"/>
    </row>
    <row r="2391">
      <c r="F2391" s="653" t="n"/>
    </row>
    <row r="2392">
      <c r="F2392" s="653" t="n"/>
    </row>
    <row r="2393">
      <c r="F2393" s="653" t="n"/>
    </row>
    <row r="2394">
      <c r="F2394" s="653" t="n"/>
    </row>
    <row r="2395">
      <c r="F2395" s="653" t="n"/>
    </row>
    <row r="2396">
      <c r="F2396" s="653" t="n"/>
    </row>
    <row r="2397">
      <c r="F2397" s="653" t="n"/>
    </row>
    <row r="2398">
      <c r="F2398" s="653" t="n"/>
    </row>
    <row r="2399">
      <c r="F2399" s="653" t="n"/>
    </row>
    <row r="2400">
      <c r="F2400" s="653" t="n"/>
    </row>
    <row r="2401">
      <c r="F2401" s="653" t="n"/>
    </row>
    <row r="2402">
      <c r="F2402" s="653" t="n"/>
    </row>
    <row r="2403">
      <c r="F2403" s="653" t="n"/>
    </row>
    <row r="2404">
      <c r="F2404" s="653" t="n"/>
    </row>
    <row r="2405">
      <c r="F2405" s="653" t="n"/>
    </row>
    <row r="2406">
      <c r="F2406" s="653" t="n"/>
    </row>
    <row r="2407">
      <c r="F2407" s="653" t="n"/>
    </row>
    <row r="2408">
      <c r="F2408" s="653" t="n"/>
    </row>
    <row r="2409">
      <c r="F2409" s="653" t="n"/>
    </row>
    <row r="2410">
      <c r="F2410" s="653" t="n"/>
    </row>
    <row r="2411">
      <c r="F2411" s="653" t="n"/>
    </row>
    <row r="2412">
      <c r="F2412" s="653" t="n"/>
    </row>
    <row r="2413">
      <c r="F2413" s="653" t="n"/>
    </row>
    <row r="2414">
      <c r="F2414" s="653" t="n"/>
    </row>
    <row r="2415">
      <c r="F2415" s="653" t="n"/>
    </row>
    <row r="2416">
      <c r="F2416" s="653" t="n"/>
    </row>
    <row r="2417">
      <c r="F2417" s="653" t="n"/>
    </row>
    <row r="2418">
      <c r="F2418" s="653" t="n"/>
    </row>
    <row r="2419">
      <c r="F2419" s="653" t="n"/>
    </row>
    <row r="2420">
      <c r="F2420" s="653" t="n"/>
    </row>
    <row r="2421">
      <c r="F2421" s="653" t="n"/>
    </row>
    <row r="2422">
      <c r="F2422" s="653" t="n"/>
    </row>
    <row r="2423">
      <c r="F2423" s="653" t="n"/>
    </row>
    <row r="2424">
      <c r="F2424" s="653" t="n"/>
    </row>
    <row r="2425">
      <c r="F2425" s="653" t="n"/>
    </row>
    <row r="2426">
      <c r="F2426" s="653" t="n"/>
    </row>
    <row r="2427">
      <c r="F2427" s="653" t="n"/>
    </row>
    <row r="2428">
      <c r="F2428" s="653" t="n"/>
    </row>
    <row r="2429">
      <c r="F2429" s="653" t="n"/>
    </row>
    <row r="2430">
      <c r="F2430" s="653" t="n"/>
    </row>
    <row r="2431">
      <c r="F2431" s="653" t="n"/>
    </row>
    <row r="2432">
      <c r="F2432" s="653" t="n"/>
    </row>
    <row r="2433">
      <c r="F2433" s="653" t="n"/>
    </row>
    <row r="2434">
      <c r="F2434" s="653" t="n"/>
    </row>
    <row r="2435">
      <c r="F2435" s="653" t="n"/>
    </row>
    <row r="2436">
      <c r="F2436" s="653" t="n"/>
    </row>
    <row r="2437">
      <c r="F2437" s="653" t="n"/>
    </row>
    <row r="2438">
      <c r="F2438" s="653" t="n"/>
    </row>
    <row r="2439">
      <c r="F2439" s="653" t="n"/>
    </row>
    <row r="2440">
      <c r="F2440" s="653" t="n"/>
    </row>
    <row r="2441">
      <c r="F2441" s="653" t="n"/>
    </row>
    <row r="2442">
      <c r="F2442" s="653" t="n"/>
    </row>
    <row r="2443">
      <c r="F2443" s="653" t="n"/>
    </row>
    <row r="2444">
      <c r="F2444" s="653" t="n"/>
    </row>
    <row r="2445">
      <c r="F2445" s="653" t="n"/>
    </row>
    <row r="2446">
      <c r="F2446" s="653" t="n"/>
    </row>
    <row r="2447">
      <c r="F2447" s="653" t="n"/>
    </row>
    <row r="2448">
      <c r="F2448" s="653" t="n"/>
    </row>
    <row r="2449">
      <c r="F2449" s="653" t="n"/>
    </row>
    <row r="2450">
      <c r="F2450" s="653" t="n"/>
    </row>
    <row r="2451">
      <c r="F2451" s="653" t="n"/>
    </row>
    <row r="2452">
      <c r="F2452" s="653" t="n"/>
    </row>
    <row r="2453">
      <c r="F2453" s="653" t="n"/>
    </row>
    <row r="2454">
      <c r="F2454" s="653" t="n"/>
    </row>
    <row r="2455">
      <c r="F2455" s="653" t="n"/>
    </row>
    <row r="2456">
      <c r="F2456" s="653" t="n"/>
    </row>
    <row r="2457">
      <c r="F2457" s="653" t="n"/>
    </row>
    <row r="2458">
      <c r="F2458" s="653" t="n"/>
    </row>
    <row r="2459">
      <c r="F2459" s="653" t="n"/>
    </row>
    <row r="2460">
      <c r="F2460" s="653" t="n"/>
    </row>
    <row r="2461">
      <c r="F2461" s="653" t="n"/>
    </row>
    <row r="2462">
      <c r="F2462" s="653" t="n"/>
    </row>
    <row r="2463">
      <c r="F2463" s="653" t="n"/>
    </row>
    <row r="2464">
      <c r="F2464" s="653" t="n"/>
    </row>
    <row r="2465">
      <c r="F2465" s="653" t="n"/>
    </row>
    <row r="2466">
      <c r="F2466" s="653" t="n"/>
    </row>
    <row r="2467">
      <c r="F2467" s="653" t="n"/>
    </row>
    <row r="2468">
      <c r="F2468" s="653" t="n"/>
    </row>
    <row r="2469">
      <c r="F2469" s="653" t="n"/>
    </row>
    <row r="2470">
      <c r="F2470" s="653" t="n"/>
    </row>
    <row r="2471">
      <c r="F2471" s="653" t="n"/>
    </row>
    <row r="2472">
      <c r="F2472" s="653" t="n"/>
    </row>
    <row r="2473">
      <c r="F2473" s="653" t="n"/>
    </row>
    <row r="2474">
      <c r="F2474" s="653" t="n"/>
    </row>
    <row r="2475">
      <c r="F2475" s="653" t="n"/>
    </row>
    <row r="2476">
      <c r="F2476" s="653" t="n"/>
    </row>
    <row r="2477">
      <c r="F2477" s="653" t="n"/>
    </row>
    <row r="2478">
      <c r="F2478" s="653" t="n"/>
    </row>
    <row r="2479">
      <c r="F2479" s="653" t="n"/>
    </row>
    <row r="2480">
      <c r="F2480" s="653" t="n"/>
    </row>
    <row r="2481">
      <c r="F2481" s="653" t="n"/>
    </row>
    <row r="2482">
      <c r="F2482" s="653" t="n"/>
    </row>
    <row r="2483">
      <c r="F2483" s="653" t="n"/>
    </row>
    <row r="2484">
      <c r="F2484" s="653" t="n"/>
    </row>
    <row r="2485">
      <c r="F2485" s="653" t="n"/>
    </row>
    <row r="2486">
      <c r="F2486" s="653" t="n"/>
    </row>
    <row r="2487">
      <c r="F2487" s="653" t="n"/>
    </row>
    <row r="2488">
      <c r="F2488" s="653" t="n"/>
    </row>
    <row r="2489">
      <c r="F2489" s="653" t="n"/>
    </row>
    <row r="2490">
      <c r="F2490" s="653" t="n"/>
    </row>
    <row r="2491">
      <c r="F2491" s="653" t="n"/>
    </row>
    <row r="2492">
      <c r="F2492" s="653" t="n"/>
    </row>
    <row r="2493">
      <c r="F2493" s="653" t="n"/>
    </row>
    <row r="2494">
      <c r="F2494" s="653" t="n"/>
    </row>
    <row r="2495">
      <c r="F2495" s="653" t="n"/>
    </row>
    <row r="2496">
      <c r="F2496" s="653" t="n"/>
    </row>
    <row r="2497">
      <c r="F2497" s="653" t="n"/>
    </row>
    <row r="2498">
      <c r="F2498" s="653" t="n"/>
    </row>
    <row r="2499">
      <c r="F2499" s="653" t="n"/>
    </row>
    <row r="2500">
      <c r="F2500" s="653" t="n"/>
    </row>
    <row r="2501">
      <c r="F2501" s="653" t="n"/>
    </row>
    <row r="2502">
      <c r="F2502" s="653" t="n"/>
    </row>
    <row r="2503">
      <c r="F2503" s="653" t="n"/>
    </row>
    <row r="2504">
      <c r="F2504" s="653" t="n"/>
    </row>
    <row r="2505">
      <c r="F2505" s="653" t="n"/>
    </row>
    <row r="2506">
      <c r="F2506" s="653" t="n"/>
    </row>
    <row r="2507">
      <c r="F2507" s="653" t="n"/>
    </row>
    <row r="2508">
      <c r="F2508" s="653" t="n"/>
    </row>
    <row r="2509">
      <c r="F2509" s="653" t="n"/>
    </row>
    <row r="2510">
      <c r="F2510" s="653" t="n"/>
    </row>
    <row r="2511">
      <c r="F2511" s="653" t="n"/>
    </row>
    <row r="2512">
      <c r="F2512" s="653" t="n"/>
    </row>
    <row r="2513">
      <c r="F2513" s="653" t="n"/>
    </row>
    <row r="2514">
      <c r="F2514" s="653" t="n"/>
    </row>
    <row r="2515">
      <c r="F2515" s="653" t="n"/>
    </row>
    <row r="2516">
      <c r="F2516" s="653" t="n"/>
    </row>
    <row r="2517">
      <c r="F2517" s="653" t="n"/>
    </row>
    <row r="2518">
      <c r="F2518" s="653" t="n"/>
    </row>
    <row r="2519">
      <c r="F2519" s="653" t="n"/>
    </row>
    <row r="2520">
      <c r="F2520" s="653" t="n"/>
    </row>
    <row r="2521">
      <c r="F2521" s="653" t="n"/>
    </row>
    <row r="2522">
      <c r="F2522" s="653" t="n"/>
    </row>
    <row r="2523">
      <c r="F2523" s="653" t="n"/>
    </row>
    <row r="2524">
      <c r="F2524" s="653" t="n"/>
    </row>
    <row r="2525">
      <c r="F2525" s="653" t="n"/>
    </row>
    <row r="2526">
      <c r="F2526" s="653" t="n"/>
    </row>
    <row r="2527">
      <c r="F2527" s="653" t="n"/>
    </row>
    <row r="2528">
      <c r="F2528" s="653" t="n"/>
    </row>
    <row r="2529">
      <c r="F2529" s="653" t="n"/>
    </row>
    <row r="2530">
      <c r="F2530" s="653" t="n"/>
    </row>
    <row r="2531">
      <c r="F2531" s="653" t="n"/>
    </row>
    <row r="2532">
      <c r="F2532" s="653" t="n"/>
    </row>
    <row r="2533">
      <c r="F2533" s="653" t="n"/>
    </row>
    <row r="2534">
      <c r="F2534" s="653" t="n"/>
    </row>
    <row r="2535">
      <c r="F2535" s="653" t="n"/>
    </row>
    <row r="2536">
      <c r="F2536" s="653" t="n"/>
    </row>
    <row r="2537">
      <c r="F2537" s="653" t="n"/>
    </row>
    <row r="2538">
      <c r="F2538" s="653" t="n"/>
    </row>
    <row r="2539">
      <c r="F2539" s="653" t="n"/>
    </row>
    <row r="2540">
      <c r="F2540" s="653" t="n"/>
    </row>
    <row r="2541">
      <c r="F2541" s="653" t="n"/>
    </row>
    <row r="2542">
      <c r="F2542" s="653" t="n"/>
    </row>
    <row r="2543">
      <c r="F2543" s="653" t="n"/>
    </row>
    <row r="2544">
      <c r="F2544" s="653" t="n"/>
    </row>
    <row r="2545">
      <c r="F2545" s="653" t="n"/>
    </row>
    <row r="2546">
      <c r="F2546" s="653" t="n"/>
    </row>
    <row r="2547">
      <c r="F2547" s="653" t="n"/>
    </row>
    <row r="2548">
      <c r="F2548" s="653" t="n"/>
    </row>
    <row r="2549">
      <c r="F2549" s="653" t="n"/>
    </row>
    <row r="2550">
      <c r="F2550" s="653" t="n"/>
    </row>
    <row r="2551">
      <c r="F2551" s="653" t="n"/>
    </row>
    <row r="2552">
      <c r="F2552" s="653" t="n"/>
    </row>
    <row r="2553">
      <c r="F2553" s="653" t="n"/>
    </row>
    <row r="2554">
      <c r="F2554" s="653" t="n"/>
    </row>
    <row r="2555">
      <c r="F2555" s="653" t="n"/>
    </row>
    <row r="2556">
      <c r="F2556" s="653" t="n"/>
    </row>
    <row r="2557">
      <c r="F2557" s="653" t="n"/>
    </row>
    <row r="2558">
      <c r="F2558" s="653" t="n"/>
    </row>
    <row r="2559">
      <c r="F2559" s="653" t="n"/>
    </row>
    <row r="2560">
      <c r="F2560" s="653" t="n"/>
    </row>
    <row r="2561">
      <c r="F2561" s="653" t="n"/>
    </row>
    <row r="2562">
      <c r="F2562" s="653" t="n"/>
    </row>
    <row r="2563">
      <c r="F2563" s="653" t="n"/>
    </row>
    <row r="2564">
      <c r="F2564" s="653" t="n"/>
    </row>
    <row r="2565">
      <c r="F2565" s="653" t="n"/>
    </row>
    <row r="2566">
      <c r="F2566" s="653" t="n"/>
    </row>
    <row r="2567">
      <c r="F2567" s="653" t="n"/>
    </row>
    <row r="2568">
      <c r="F2568" s="653" t="n"/>
    </row>
    <row r="2569">
      <c r="F2569" s="653" t="n"/>
    </row>
    <row r="2570">
      <c r="F2570" s="653" t="n"/>
    </row>
    <row r="2571">
      <c r="F2571" s="653" t="n"/>
    </row>
    <row r="2572">
      <c r="F2572" s="653" t="n"/>
    </row>
    <row r="2573">
      <c r="F2573" s="653" t="n"/>
    </row>
    <row r="2574">
      <c r="F2574" s="653" t="n"/>
    </row>
    <row r="2575">
      <c r="F2575" s="653" t="n"/>
    </row>
    <row r="2576">
      <c r="F2576" s="653" t="n"/>
    </row>
    <row r="2577">
      <c r="F2577" s="653" t="n"/>
    </row>
    <row r="2578">
      <c r="F2578" s="653" t="n"/>
    </row>
    <row r="2579">
      <c r="F2579" s="653" t="n"/>
    </row>
    <row r="2580">
      <c r="F2580" s="653" t="n"/>
    </row>
    <row r="2581">
      <c r="F2581" s="653" t="n"/>
    </row>
    <row r="2582">
      <c r="F2582" s="653" t="n"/>
    </row>
    <row r="2583">
      <c r="F2583" s="653" t="n"/>
    </row>
    <row r="2584">
      <c r="F2584" s="653" t="n"/>
    </row>
    <row r="2585">
      <c r="F2585" s="653" t="n"/>
    </row>
    <row r="2586">
      <c r="F2586" s="653" t="n"/>
    </row>
    <row r="2587">
      <c r="F2587" s="653" t="n"/>
    </row>
    <row r="2588">
      <c r="F2588" s="653" t="n"/>
    </row>
    <row r="2589">
      <c r="F2589" s="653" t="n"/>
    </row>
    <row r="2590">
      <c r="F2590" s="653" t="n"/>
    </row>
    <row r="2591">
      <c r="F2591" s="653" t="n"/>
    </row>
    <row r="2592">
      <c r="F2592" s="653" t="n"/>
    </row>
    <row r="2593">
      <c r="F2593" s="653" t="n"/>
    </row>
    <row r="2594">
      <c r="F2594" s="653" t="n"/>
    </row>
    <row r="2595">
      <c r="F2595" s="653" t="n"/>
    </row>
    <row r="2596">
      <c r="F2596" s="653" t="n"/>
    </row>
    <row r="2597">
      <c r="F2597" s="653" t="n"/>
    </row>
    <row r="2598">
      <c r="F2598" s="653" t="n"/>
    </row>
    <row r="2599">
      <c r="F2599" s="653" t="n"/>
    </row>
    <row r="2600">
      <c r="F2600" s="653" t="n"/>
    </row>
    <row r="2601">
      <c r="F2601" s="653" t="n"/>
    </row>
    <row r="2602">
      <c r="F2602" s="653" t="n"/>
    </row>
    <row r="2603">
      <c r="F2603" s="653" t="n"/>
    </row>
    <row r="2604">
      <c r="F2604" s="653" t="n"/>
    </row>
    <row r="2605">
      <c r="F2605" s="653" t="n"/>
    </row>
    <row r="2606">
      <c r="F2606" s="653" t="n"/>
    </row>
    <row r="2607">
      <c r="F2607" s="653" t="n"/>
    </row>
    <row r="2608">
      <c r="F2608" s="653" t="n"/>
    </row>
    <row r="2609">
      <c r="F2609" s="653" t="n"/>
    </row>
    <row r="2610">
      <c r="F2610" s="653" t="n"/>
    </row>
    <row r="2611">
      <c r="F2611" s="653" t="n"/>
    </row>
    <row r="2612">
      <c r="F2612" s="653" t="n"/>
    </row>
    <row r="2613">
      <c r="F2613" s="653" t="n"/>
    </row>
    <row r="2614">
      <c r="F2614" s="653" t="n"/>
    </row>
    <row r="2615">
      <c r="F2615" s="653" t="n"/>
    </row>
    <row r="2616">
      <c r="F2616" s="653" t="n"/>
    </row>
    <row r="2617">
      <c r="F2617" s="653" t="n"/>
    </row>
    <row r="2618">
      <c r="F2618" s="653" t="n"/>
    </row>
    <row r="2619">
      <c r="F2619" s="653" t="n"/>
    </row>
    <row r="2620">
      <c r="F2620" s="653" t="n"/>
    </row>
    <row r="2621">
      <c r="F2621" s="653" t="n"/>
    </row>
    <row r="2622">
      <c r="F2622" s="653" t="n"/>
    </row>
    <row r="2623">
      <c r="F2623" s="653" t="n"/>
    </row>
    <row r="2624">
      <c r="F2624" s="653" t="n"/>
    </row>
    <row r="2625">
      <c r="F2625" s="653" t="n"/>
    </row>
    <row r="2626">
      <c r="F2626" s="653" t="n"/>
    </row>
    <row r="2627">
      <c r="F2627" s="653" t="n"/>
    </row>
    <row r="2628">
      <c r="F2628" s="653" t="n"/>
    </row>
    <row r="2629">
      <c r="F2629" s="653" t="n"/>
    </row>
    <row r="2630">
      <c r="F2630" s="653" t="n"/>
    </row>
    <row r="2631">
      <c r="F2631" s="653" t="n"/>
    </row>
    <row r="2632">
      <c r="F2632" s="653" t="n"/>
    </row>
    <row r="2633">
      <c r="F2633" s="653" t="n"/>
    </row>
    <row r="2634">
      <c r="F2634" s="653" t="n"/>
    </row>
    <row r="2635">
      <c r="F2635" s="653" t="n"/>
    </row>
    <row r="2636">
      <c r="F2636" s="653" t="n"/>
    </row>
    <row r="2637">
      <c r="F2637" s="653" t="n"/>
    </row>
    <row r="2638">
      <c r="F2638" s="653" t="n"/>
    </row>
    <row r="2639">
      <c r="F2639" s="653" t="n"/>
    </row>
    <row r="2640">
      <c r="F2640" s="653" t="n"/>
    </row>
    <row r="2641">
      <c r="F2641" s="653" t="n"/>
    </row>
    <row r="2642">
      <c r="F2642" s="653" t="n"/>
    </row>
    <row r="2643">
      <c r="F2643" s="653" t="n"/>
    </row>
    <row r="2644">
      <c r="F2644" s="653" t="n"/>
    </row>
    <row r="2645">
      <c r="F2645" s="653" t="n"/>
    </row>
    <row r="2646">
      <c r="F2646" s="653" t="n"/>
    </row>
    <row r="2647">
      <c r="F2647" s="653" t="n"/>
    </row>
    <row r="2648">
      <c r="F2648" s="653" t="n"/>
    </row>
    <row r="2649">
      <c r="F2649" s="653" t="n"/>
    </row>
    <row r="2650">
      <c r="F2650" s="653" t="n"/>
    </row>
    <row r="2651">
      <c r="F2651" s="653" t="n"/>
    </row>
    <row r="2652">
      <c r="F2652" s="653" t="n"/>
    </row>
    <row r="2653">
      <c r="F2653" s="653" t="n"/>
    </row>
    <row r="2654">
      <c r="F2654" s="653" t="n"/>
    </row>
    <row r="2655">
      <c r="F2655" s="653" t="n"/>
    </row>
    <row r="2656">
      <c r="F2656" s="653" t="n"/>
    </row>
    <row r="2657">
      <c r="F2657" s="653" t="n"/>
    </row>
    <row r="2658">
      <c r="F2658" s="653" t="n"/>
    </row>
    <row r="2659">
      <c r="F2659" s="653" t="n"/>
    </row>
    <row r="2660">
      <c r="F2660" s="653" t="n"/>
    </row>
    <row r="2661">
      <c r="F2661" s="653" t="n"/>
    </row>
    <row r="2662">
      <c r="F2662" s="653" t="n"/>
    </row>
    <row r="2663">
      <c r="F2663" s="653" t="n"/>
    </row>
    <row r="2664">
      <c r="F2664" s="653" t="n"/>
    </row>
    <row r="2665">
      <c r="F2665" s="653" t="n"/>
    </row>
    <row r="2666">
      <c r="F2666" s="653" t="n"/>
    </row>
    <row r="2667">
      <c r="F2667" s="653" t="n"/>
    </row>
    <row r="2668">
      <c r="F2668" s="653" t="n"/>
    </row>
    <row r="2669">
      <c r="F2669" s="653" t="n"/>
    </row>
    <row r="2670">
      <c r="F2670" s="653" t="n"/>
    </row>
    <row r="2671">
      <c r="F2671" s="653" t="n"/>
    </row>
    <row r="2672">
      <c r="F2672" s="653" t="n"/>
    </row>
    <row r="2673">
      <c r="F2673" s="653" t="n"/>
    </row>
    <row r="2674">
      <c r="F2674" s="653" t="n"/>
    </row>
    <row r="2675">
      <c r="F2675" s="653" t="n"/>
    </row>
    <row r="2676">
      <c r="F2676" s="653" t="n"/>
    </row>
    <row r="2677">
      <c r="F2677" s="653" t="n"/>
    </row>
    <row r="2678">
      <c r="F2678" s="653" t="n"/>
    </row>
    <row r="2679">
      <c r="F2679" s="653" t="n"/>
    </row>
    <row r="2680">
      <c r="F2680" s="653" t="n"/>
    </row>
    <row r="2681">
      <c r="F2681" s="653" t="n"/>
    </row>
    <row r="2682">
      <c r="F2682" s="653" t="n"/>
    </row>
    <row r="2683">
      <c r="F2683" s="653" t="n"/>
    </row>
    <row r="2684">
      <c r="F2684" s="653" t="n"/>
    </row>
    <row r="2685">
      <c r="F2685" s="653" t="n"/>
    </row>
    <row r="2686">
      <c r="F2686" s="653" t="n"/>
    </row>
    <row r="2687">
      <c r="F2687" s="653" t="n"/>
    </row>
    <row r="2688">
      <c r="F2688" s="653" t="n"/>
    </row>
    <row r="2689">
      <c r="F2689" s="653" t="n"/>
    </row>
    <row r="2690">
      <c r="F2690" s="653" t="n"/>
    </row>
    <row r="2691">
      <c r="F2691" s="653" t="n"/>
    </row>
    <row r="2692">
      <c r="F2692" s="653" t="n"/>
    </row>
    <row r="2693">
      <c r="F2693" s="653" t="n"/>
    </row>
    <row r="2694">
      <c r="F2694" s="653" t="n"/>
    </row>
    <row r="2695">
      <c r="F2695" s="653" t="n"/>
    </row>
    <row r="2696">
      <c r="F2696" s="653" t="n"/>
    </row>
    <row r="2697">
      <c r="F2697" s="653" t="n"/>
    </row>
    <row r="2698">
      <c r="F2698" s="653" t="n"/>
    </row>
    <row r="2699">
      <c r="F2699" s="653" t="n"/>
    </row>
    <row r="2700">
      <c r="F2700" s="653" t="n"/>
    </row>
    <row r="2701">
      <c r="F2701" s="653" t="n"/>
    </row>
    <row r="2702">
      <c r="F2702" s="653" t="n"/>
    </row>
    <row r="2703">
      <c r="F2703" s="653" t="n"/>
    </row>
    <row r="2704">
      <c r="F2704" s="653" t="n"/>
    </row>
    <row r="2705">
      <c r="F2705" s="653" t="n"/>
    </row>
    <row r="2706">
      <c r="F2706" s="653" t="n"/>
    </row>
    <row r="2707">
      <c r="F2707" s="653" t="n"/>
    </row>
    <row r="2708">
      <c r="F2708" s="653" t="n"/>
    </row>
    <row r="2709">
      <c r="F2709" s="653" t="n"/>
    </row>
    <row r="2710">
      <c r="F2710" s="653" t="n"/>
    </row>
    <row r="2711">
      <c r="F2711" s="653" t="n"/>
    </row>
    <row r="2712">
      <c r="F2712" s="653" t="n"/>
    </row>
    <row r="2713">
      <c r="F2713" s="653" t="n"/>
    </row>
    <row r="2714">
      <c r="F2714" s="653" t="n"/>
    </row>
    <row r="2715">
      <c r="F2715" s="653" t="n"/>
    </row>
    <row r="2716">
      <c r="F2716" s="653" t="n"/>
    </row>
    <row r="2717">
      <c r="F2717" s="653" t="n"/>
    </row>
    <row r="2718">
      <c r="F2718" s="653" t="n"/>
    </row>
    <row r="2719">
      <c r="F2719" s="653" t="n"/>
    </row>
    <row r="2720">
      <c r="F2720" s="653" t="n"/>
    </row>
    <row r="2721">
      <c r="F2721" s="653" t="n"/>
    </row>
    <row r="2722">
      <c r="F2722" s="653" t="n"/>
    </row>
    <row r="2723">
      <c r="F2723" s="653" t="n"/>
    </row>
    <row r="2724">
      <c r="F2724" s="653" t="n"/>
    </row>
    <row r="2725">
      <c r="F2725" s="653" t="n"/>
    </row>
    <row r="2726">
      <c r="F2726" s="653" t="n"/>
    </row>
    <row r="2727">
      <c r="F2727" s="653" t="n"/>
    </row>
    <row r="2728">
      <c r="F2728" s="653" t="n"/>
    </row>
    <row r="2729">
      <c r="F2729" s="653" t="n"/>
    </row>
    <row r="2730">
      <c r="F2730" s="653" t="n"/>
    </row>
    <row r="2731">
      <c r="F2731" s="653" t="n"/>
    </row>
    <row r="2732">
      <c r="F2732" s="653" t="n"/>
    </row>
    <row r="2733">
      <c r="F2733" s="653" t="n"/>
    </row>
    <row r="2734">
      <c r="F2734" s="653" t="n"/>
    </row>
    <row r="2735">
      <c r="F2735" s="653" t="n"/>
    </row>
    <row r="2736">
      <c r="F2736" s="653" t="n"/>
    </row>
    <row r="2737">
      <c r="F2737" s="653" t="n"/>
    </row>
    <row r="2738">
      <c r="F2738" s="653" t="n"/>
    </row>
    <row r="2739">
      <c r="F2739" s="653" t="n"/>
    </row>
    <row r="2740">
      <c r="F2740" s="653" t="n"/>
    </row>
    <row r="2741">
      <c r="F2741" s="653" t="n"/>
    </row>
    <row r="2742">
      <c r="F2742" s="653" t="n"/>
    </row>
    <row r="2743">
      <c r="F2743" s="653" t="n"/>
    </row>
    <row r="2744">
      <c r="F2744" s="653" t="n"/>
    </row>
    <row r="2745">
      <c r="F2745" s="653" t="n"/>
    </row>
    <row r="2746">
      <c r="F2746" s="653" t="n"/>
    </row>
    <row r="2747">
      <c r="F2747" s="653" t="n"/>
    </row>
    <row r="2748">
      <c r="F2748" s="653" t="n"/>
    </row>
    <row r="2749">
      <c r="F2749" s="653" t="n"/>
    </row>
    <row r="2750">
      <c r="F2750" s="653" t="n"/>
    </row>
    <row r="2751">
      <c r="F2751" s="653" t="n"/>
    </row>
    <row r="2752">
      <c r="F2752" s="653" t="n"/>
    </row>
    <row r="2753">
      <c r="F2753" s="653" t="n"/>
    </row>
    <row r="2754">
      <c r="F2754" s="653" t="n"/>
    </row>
    <row r="2755">
      <c r="F2755" s="653" t="n"/>
    </row>
    <row r="2756">
      <c r="F2756" s="653" t="n"/>
    </row>
    <row r="2757">
      <c r="F2757" s="653" t="n"/>
    </row>
    <row r="2758">
      <c r="F2758" s="653" t="n"/>
    </row>
    <row r="2759">
      <c r="F2759" s="653" t="n"/>
    </row>
    <row r="2760">
      <c r="F2760" s="653" t="n"/>
    </row>
    <row r="2761">
      <c r="F2761" s="653" t="n"/>
    </row>
    <row r="2762">
      <c r="F2762" s="653" t="n"/>
    </row>
    <row r="2763">
      <c r="F2763" s="653" t="n"/>
    </row>
    <row r="2764">
      <c r="F2764" s="653" t="n"/>
    </row>
    <row r="2765">
      <c r="F2765" s="653" t="n"/>
    </row>
    <row r="2766">
      <c r="F2766" s="653" t="n"/>
    </row>
    <row r="2767">
      <c r="F2767" s="653" t="n"/>
    </row>
    <row r="2768">
      <c r="F2768" s="653" t="n"/>
    </row>
    <row r="2769">
      <c r="F2769" s="653" t="n"/>
    </row>
    <row r="2770">
      <c r="F2770" s="653" t="n"/>
    </row>
    <row r="2771">
      <c r="F2771" s="653" t="n"/>
    </row>
    <row r="2772">
      <c r="F2772" s="653" t="n"/>
    </row>
    <row r="2773">
      <c r="F2773" s="653" t="n"/>
    </row>
    <row r="2774">
      <c r="F2774" s="653" t="n"/>
    </row>
    <row r="2775">
      <c r="F2775" s="653" t="n"/>
    </row>
    <row r="2776">
      <c r="F2776" s="653" t="n"/>
    </row>
    <row r="2777">
      <c r="F2777" s="653" t="n"/>
    </row>
    <row r="2778">
      <c r="F2778" s="653" t="n"/>
    </row>
    <row r="2779">
      <c r="F2779" s="653" t="n"/>
    </row>
    <row r="2780">
      <c r="F2780" s="653" t="n"/>
    </row>
    <row r="2781">
      <c r="F2781" s="653" t="n"/>
    </row>
    <row r="2782">
      <c r="F2782" s="653" t="n"/>
    </row>
    <row r="2783">
      <c r="F2783" s="653" t="n"/>
    </row>
    <row r="2784">
      <c r="F2784" s="653" t="n"/>
    </row>
    <row r="2785">
      <c r="F2785" s="653" t="n"/>
    </row>
    <row r="2786">
      <c r="F2786" s="653" t="n"/>
    </row>
    <row r="2787">
      <c r="F2787" s="653" t="n"/>
    </row>
    <row r="2788">
      <c r="F2788" s="653" t="n"/>
    </row>
    <row r="2789">
      <c r="F2789" s="653" t="n"/>
    </row>
    <row r="2790">
      <c r="F2790" s="653" t="n"/>
    </row>
    <row r="2791">
      <c r="F2791" s="653" t="n"/>
    </row>
    <row r="2792">
      <c r="F2792" s="653" t="n"/>
    </row>
    <row r="2793">
      <c r="F2793" s="653" t="n"/>
    </row>
    <row r="2794">
      <c r="F2794" s="653" t="n"/>
    </row>
    <row r="2795">
      <c r="F2795" s="653" t="n"/>
    </row>
    <row r="2796">
      <c r="F2796" s="653" t="n"/>
    </row>
    <row r="2797">
      <c r="F2797" s="653" t="n"/>
    </row>
    <row r="2798">
      <c r="F2798" s="653" t="n"/>
    </row>
    <row r="2799">
      <c r="F2799" s="653" t="n"/>
    </row>
    <row r="2800">
      <c r="F2800" s="653" t="n"/>
    </row>
    <row r="2801">
      <c r="F2801" s="653" t="n"/>
    </row>
    <row r="2802">
      <c r="F2802" s="653" t="n"/>
    </row>
    <row r="2803">
      <c r="F2803" s="653" t="n"/>
    </row>
    <row r="2804">
      <c r="F2804" s="653" t="n"/>
    </row>
    <row r="2805">
      <c r="F2805" s="653" t="n"/>
    </row>
    <row r="2806">
      <c r="F2806" s="653" t="n"/>
    </row>
    <row r="2807">
      <c r="F2807" s="653" t="n"/>
    </row>
    <row r="2808">
      <c r="F2808" s="653" t="n"/>
    </row>
    <row r="2809">
      <c r="F2809" s="653" t="n"/>
    </row>
    <row r="2810">
      <c r="F2810" s="653" t="n"/>
    </row>
    <row r="2811">
      <c r="F2811" s="653" t="n"/>
    </row>
    <row r="2812">
      <c r="F2812" s="653" t="n"/>
    </row>
    <row r="2813">
      <c r="F2813" s="653" t="n"/>
    </row>
    <row r="2814">
      <c r="F2814" s="653" t="n"/>
    </row>
    <row r="2815">
      <c r="F2815" s="653" t="n"/>
    </row>
    <row r="2816">
      <c r="F2816" s="653" t="n"/>
    </row>
    <row r="2817">
      <c r="F2817" s="653" t="n"/>
    </row>
    <row r="2818">
      <c r="F2818" s="653" t="n"/>
    </row>
    <row r="2819">
      <c r="F2819" s="653" t="n"/>
    </row>
    <row r="2820">
      <c r="F2820" s="653" t="n"/>
    </row>
    <row r="2821">
      <c r="F2821" s="653" t="n"/>
    </row>
    <row r="2822">
      <c r="F2822" s="653" t="n"/>
    </row>
    <row r="2823">
      <c r="F2823" s="653" t="n"/>
    </row>
    <row r="2824">
      <c r="F2824" s="653" t="n"/>
    </row>
    <row r="2825">
      <c r="F2825" s="653" t="n"/>
    </row>
    <row r="2826">
      <c r="F2826" s="653" t="n"/>
    </row>
    <row r="2827">
      <c r="F2827" s="653" t="n"/>
    </row>
    <row r="2828">
      <c r="F2828" s="653" t="n"/>
    </row>
    <row r="2829">
      <c r="F2829" s="653" t="n"/>
    </row>
    <row r="2830">
      <c r="F2830" s="653" t="n"/>
    </row>
    <row r="2831">
      <c r="F2831" s="653" t="n"/>
    </row>
    <row r="2832">
      <c r="F2832" s="653" t="n"/>
    </row>
    <row r="2833">
      <c r="F2833" s="653" t="n"/>
    </row>
    <row r="2834">
      <c r="F2834" s="653" t="n"/>
    </row>
    <row r="2835">
      <c r="F2835" s="653" t="n"/>
    </row>
    <row r="2836">
      <c r="F2836" s="653" t="n"/>
    </row>
    <row r="2837">
      <c r="F2837" s="653" t="n"/>
    </row>
    <row r="2838">
      <c r="F2838" s="653" t="n"/>
    </row>
    <row r="2839">
      <c r="F2839" s="653" t="n"/>
    </row>
    <row r="2840">
      <c r="F2840" s="653" t="n"/>
    </row>
    <row r="2841">
      <c r="F2841" s="653" t="n"/>
    </row>
    <row r="2842">
      <c r="F2842" s="653" t="n"/>
    </row>
    <row r="2843">
      <c r="F2843" s="653" t="n"/>
    </row>
    <row r="2844">
      <c r="F2844" s="653" t="n"/>
    </row>
    <row r="2845">
      <c r="F2845" s="653" t="n"/>
    </row>
    <row r="2846">
      <c r="F2846" s="653" t="n"/>
    </row>
    <row r="2847">
      <c r="F2847" s="653" t="n"/>
    </row>
    <row r="2848">
      <c r="F2848" s="653" t="n"/>
    </row>
    <row r="2849">
      <c r="F2849" s="653" t="n"/>
    </row>
    <row r="2850">
      <c r="F2850" s="653" t="n"/>
    </row>
    <row r="2851">
      <c r="F2851" s="653" t="n"/>
    </row>
    <row r="2852">
      <c r="F2852" s="653" t="n"/>
    </row>
    <row r="2853">
      <c r="F2853" s="653" t="n"/>
    </row>
    <row r="2854">
      <c r="F2854" s="653" t="n"/>
    </row>
    <row r="2855">
      <c r="F2855" s="653" t="n"/>
    </row>
    <row r="2856">
      <c r="F2856" s="653" t="n"/>
    </row>
    <row r="2857">
      <c r="F2857" s="653" t="n"/>
    </row>
    <row r="2858">
      <c r="F2858" s="653" t="n"/>
    </row>
    <row r="2859">
      <c r="F2859" s="653" t="n"/>
    </row>
    <row r="2860">
      <c r="F2860" s="653" t="n"/>
    </row>
    <row r="2861">
      <c r="F2861" s="653" t="n"/>
    </row>
    <row r="2862">
      <c r="F2862" s="653" t="n"/>
    </row>
    <row r="2863">
      <c r="F2863" s="653" t="n"/>
    </row>
    <row r="2864">
      <c r="F2864" s="653" t="n"/>
    </row>
    <row r="2865">
      <c r="F2865" s="653" t="n"/>
    </row>
    <row r="2866">
      <c r="F2866" s="653" t="n"/>
    </row>
    <row r="2867">
      <c r="F2867" s="653" t="n"/>
    </row>
    <row r="2868">
      <c r="F2868" s="653" t="n"/>
    </row>
    <row r="2869">
      <c r="F2869" s="653" t="n"/>
    </row>
    <row r="2870">
      <c r="F2870" s="653" t="n"/>
    </row>
    <row r="2871">
      <c r="F2871" s="653" t="n"/>
    </row>
    <row r="2872">
      <c r="F2872" s="653" t="n"/>
    </row>
    <row r="2873">
      <c r="F2873" s="653" t="n"/>
    </row>
    <row r="2874">
      <c r="F2874" s="653" t="n"/>
    </row>
    <row r="2875">
      <c r="F2875" s="653" t="n"/>
    </row>
    <row r="2876">
      <c r="F2876" s="653" t="n"/>
    </row>
    <row r="2877">
      <c r="F2877" s="653" t="n"/>
    </row>
    <row r="2878">
      <c r="F2878" s="653" t="n"/>
    </row>
    <row r="2879">
      <c r="F2879" s="653" t="n"/>
    </row>
    <row r="2880">
      <c r="F2880" s="653" t="n"/>
    </row>
    <row r="2881">
      <c r="F2881" s="653" t="n"/>
    </row>
    <row r="2882">
      <c r="F2882" s="653" t="n"/>
    </row>
    <row r="2883">
      <c r="F2883" s="653" t="n"/>
    </row>
    <row r="2884">
      <c r="F2884" s="653" t="n"/>
    </row>
    <row r="2885">
      <c r="F2885" s="653" t="n"/>
    </row>
    <row r="2886">
      <c r="F2886" s="653" t="n"/>
    </row>
    <row r="2887">
      <c r="F2887" s="653" t="n"/>
    </row>
    <row r="2888">
      <c r="F2888" s="653" t="n"/>
    </row>
    <row r="2889">
      <c r="F2889" s="653" t="n"/>
    </row>
    <row r="2890">
      <c r="F2890" s="653" t="n"/>
    </row>
    <row r="2891">
      <c r="F2891" s="653" t="n"/>
    </row>
    <row r="2892">
      <c r="F2892" s="653" t="n"/>
    </row>
    <row r="2893">
      <c r="F2893" s="653" t="n"/>
    </row>
    <row r="2894">
      <c r="F2894" s="653" t="n"/>
    </row>
    <row r="2895">
      <c r="F2895" s="653" t="n"/>
    </row>
    <row r="2896">
      <c r="F2896" s="653" t="n"/>
    </row>
    <row r="2897">
      <c r="F2897" s="653" t="n"/>
    </row>
    <row r="2898">
      <c r="F2898" s="653" t="n"/>
    </row>
    <row r="2899">
      <c r="F2899" s="653" t="n"/>
    </row>
    <row r="2900">
      <c r="F2900" s="653" t="n"/>
    </row>
    <row r="2901">
      <c r="F2901" s="653" t="n"/>
    </row>
    <row r="2902">
      <c r="F2902" s="653" t="n"/>
    </row>
    <row r="2903">
      <c r="F2903" s="653" t="n"/>
    </row>
    <row r="2904">
      <c r="F2904" s="653" t="n"/>
    </row>
    <row r="2905">
      <c r="F2905" s="653" t="n"/>
    </row>
    <row r="2906">
      <c r="F2906" s="653" t="n"/>
    </row>
    <row r="2907">
      <c r="F2907" s="653" t="n"/>
    </row>
    <row r="2908">
      <c r="F2908" s="653" t="n"/>
    </row>
    <row r="2909">
      <c r="F2909" s="653" t="n"/>
    </row>
    <row r="2910">
      <c r="F2910" s="653" t="n"/>
    </row>
    <row r="2911">
      <c r="F2911" s="653" t="n"/>
    </row>
    <row r="2912">
      <c r="F2912" s="653" t="n"/>
    </row>
    <row r="2913">
      <c r="F2913" s="653" t="n"/>
    </row>
    <row r="2914">
      <c r="F2914" s="653" t="n"/>
    </row>
    <row r="2915">
      <c r="F2915" s="653" t="n"/>
    </row>
    <row r="2916">
      <c r="F2916" s="653" t="n"/>
    </row>
    <row r="2917">
      <c r="F2917" s="653" t="n"/>
    </row>
    <row r="2918">
      <c r="F2918" s="653" t="n"/>
    </row>
    <row r="2919">
      <c r="F2919" s="653" t="n"/>
    </row>
    <row r="2920">
      <c r="F2920" s="653" t="n"/>
    </row>
    <row r="2921">
      <c r="F2921" s="653" t="n"/>
    </row>
    <row r="2922">
      <c r="F2922" s="653" t="n"/>
    </row>
    <row r="2923">
      <c r="F2923" s="653" t="n"/>
    </row>
    <row r="2924">
      <c r="F2924" s="653" t="n"/>
    </row>
    <row r="2925">
      <c r="F2925" s="653" t="n"/>
    </row>
    <row r="2926">
      <c r="F2926" s="653" t="n"/>
    </row>
    <row r="2927">
      <c r="F2927" s="653" t="n"/>
    </row>
    <row r="2928">
      <c r="F2928" s="653" t="n"/>
    </row>
    <row r="2929">
      <c r="F2929" s="653" t="n"/>
    </row>
    <row r="2930">
      <c r="F2930" s="653" t="n"/>
    </row>
    <row r="2931">
      <c r="F2931" s="653" t="n"/>
    </row>
    <row r="2932">
      <c r="F2932" s="653" t="n"/>
    </row>
    <row r="2933">
      <c r="F2933" s="653" t="n"/>
    </row>
    <row r="2934">
      <c r="F2934" s="653" t="n"/>
    </row>
    <row r="2935">
      <c r="F2935" s="653" t="n"/>
    </row>
    <row r="2936">
      <c r="F2936" s="653" t="n"/>
    </row>
    <row r="2937">
      <c r="F2937" s="653" t="n"/>
    </row>
    <row r="2938">
      <c r="F2938" s="653" t="n"/>
    </row>
    <row r="2939">
      <c r="F2939" s="653" t="n"/>
    </row>
    <row r="2940">
      <c r="F2940" s="653" t="n"/>
    </row>
    <row r="2941">
      <c r="F2941" s="653" t="n"/>
    </row>
    <row r="2942">
      <c r="F2942" s="653" t="n"/>
    </row>
    <row r="2943">
      <c r="F2943" s="653" t="n"/>
    </row>
    <row r="2944">
      <c r="F2944" s="653" t="n"/>
    </row>
    <row r="2945">
      <c r="F2945" s="653" t="n"/>
    </row>
    <row r="2946">
      <c r="F2946" s="653" t="n"/>
    </row>
    <row r="2947">
      <c r="F2947" s="653" t="n"/>
    </row>
    <row r="2948">
      <c r="F2948" s="653" t="n"/>
    </row>
    <row r="2949">
      <c r="F2949" s="653" t="n"/>
    </row>
    <row r="2950">
      <c r="F2950" s="653" t="n"/>
    </row>
    <row r="2951">
      <c r="F2951" s="653" t="n"/>
    </row>
    <row r="2952">
      <c r="F2952" s="653" t="n"/>
    </row>
    <row r="2953">
      <c r="F2953" s="653" t="n"/>
    </row>
    <row r="2954">
      <c r="F2954" s="653" t="n"/>
    </row>
    <row r="2955">
      <c r="F2955" s="653" t="n"/>
    </row>
    <row r="2956">
      <c r="F2956" s="653" t="n"/>
    </row>
    <row r="2957">
      <c r="F2957" s="653" t="n"/>
    </row>
    <row r="2958">
      <c r="F2958" s="653" t="n"/>
    </row>
    <row r="2959">
      <c r="F2959" s="653" t="n"/>
    </row>
    <row r="2960">
      <c r="F2960" s="653" t="n"/>
    </row>
    <row r="2961">
      <c r="F2961" s="653" t="n"/>
    </row>
    <row r="2962">
      <c r="F2962" s="653" t="n"/>
    </row>
    <row r="2963">
      <c r="F2963" s="653" t="n"/>
    </row>
    <row r="2964">
      <c r="F2964" s="653" t="n"/>
    </row>
    <row r="2965">
      <c r="F2965" s="653" t="n"/>
    </row>
    <row r="2966">
      <c r="F2966" s="653" t="n"/>
    </row>
    <row r="2967">
      <c r="F2967" s="653" t="n"/>
    </row>
    <row r="2968">
      <c r="F2968" s="653" t="n"/>
    </row>
    <row r="2969">
      <c r="F2969" s="653" t="n"/>
    </row>
    <row r="2970">
      <c r="F2970" s="653" t="n"/>
    </row>
    <row r="2971">
      <c r="F2971" s="653" t="n"/>
    </row>
    <row r="2972">
      <c r="F2972" s="653" t="n"/>
    </row>
    <row r="2973">
      <c r="F2973" s="653" t="n"/>
    </row>
    <row r="2974">
      <c r="F2974" s="653" t="n"/>
    </row>
    <row r="2975">
      <c r="F2975" s="653" t="n"/>
    </row>
    <row r="2976">
      <c r="F2976" s="653" t="n"/>
    </row>
    <row r="2977">
      <c r="F2977" s="653" t="n"/>
    </row>
    <row r="2978">
      <c r="F2978" s="653" t="n"/>
    </row>
    <row r="2979">
      <c r="F2979" s="653" t="n"/>
    </row>
    <row r="2980">
      <c r="F2980" s="653" t="n"/>
    </row>
    <row r="2981">
      <c r="F2981" s="653" t="n"/>
    </row>
    <row r="2982">
      <c r="F2982" s="653" t="n"/>
    </row>
    <row r="2983">
      <c r="F2983" s="653" t="n"/>
    </row>
    <row r="2984">
      <c r="F2984" s="653" t="n"/>
    </row>
    <row r="2985">
      <c r="F2985" s="653" t="n"/>
    </row>
    <row r="2986">
      <c r="F2986" s="653" t="n"/>
    </row>
    <row r="2987">
      <c r="F2987" s="653" t="n"/>
    </row>
    <row r="2988">
      <c r="F2988" s="653" t="n"/>
    </row>
    <row r="2989">
      <c r="F2989" s="653" t="n"/>
    </row>
    <row r="2990">
      <c r="F2990" s="653" t="n"/>
    </row>
    <row r="2991">
      <c r="F2991" s="653" t="n"/>
    </row>
    <row r="2992">
      <c r="F2992" s="653" t="n"/>
    </row>
    <row r="2993">
      <c r="F2993" s="653" t="n"/>
    </row>
    <row r="2994">
      <c r="F2994" s="653" t="n"/>
    </row>
    <row r="2995">
      <c r="F2995" s="653" t="n"/>
    </row>
    <row r="2996">
      <c r="F2996" s="653" t="n"/>
    </row>
    <row r="2997">
      <c r="F2997" s="653" t="n"/>
    </row>
    <row r="2998">
      <c r="F2998" s="653" t="n"/>
    </row>
    <row r="2999">
      <c r="F2999" s="653" t="n"/>
    </row>
    <row r="3000">
      <c r="F3000" s="653" t="n"/>
    </row>
    <row r="3001">
      <c r="F3001" s="653" t="n"/>
    </row>
    <row r="3002">
      <c r="F3002" s="653" t="n"/>
    </row>
    <row r="3003">
      <c r="F3003" s="653" t="n"/>
    </row>
    <row r="3004">
      <c r="F3004" s="653" t="n"/>
    </row>
    <row r="3005">
      <c r="F3005" s="653" t="n"/>
    </row>
    <row r="3006">
      <c r="F3006" s="653" t="n"/>
    </row>
    <row r="3007">
      <c r="F3007" s="653" t="n"/>
    </row>
    <row r="3008">
      <c r="F3008" s="653" t="n"/>
    </row>
    <row r="3009">
      <c r="F3009" s="653" t="n"/>
    </row>
    <row r="3010">
      <c r="F3010" s="653" t="n"/>
    </row>
    <row r="3011">
      <c r="F3011" s="653" t="n"/>
    </row>
    <row r="3012">
      <c r="F3012" s="653" t="n"/>
    </row>
    <row r="3013">
      <c r="F3013" s="653" t="n"/>
    </row>
    <row r="3014">
      <c r="F3014" s="653" t="n"/>
    </row>
    <row r="3015">
      <c r="F3015" s="653" t="n"/>
    </row>
    <row r="3016">
      <c r="F3016" s="653" t="n"/>
    </row>
    <row r="3017">
      <c r="F3017" s="653" t="n"/>
    </row>
    <row r="3018">
      <c r="F3018" s="653" t="n"/>
    </row>
    <row r="3019">
      <c r="F3019" s="653" t="n"/>
    </row>
    <row r="3020">
      <c r="F3020" s="653" t="n"/>
    </row>
    <row r="3021">
      <c r="F3021" s="653" t="n"/>
    </row>
    <row r="3022">
      <c r="F3022" s="653" t="n"/>
    </row>
    <row r="3023">
      <c r="F3023" s="653" t="n"/>
    </row>
    <row r="3024">
      <c r="F3024" s="653" t="n"/>
    </row>
    <row r="3025">
      <c r="F3025" s="653" t="n"/>
    </row>
    <row r="3026">
      <c r="F3026" s="653" t="n"/>
    </row>
    <row r="3027">
      <c r="F3027" s="653" t="n"/>
    </row>
    <row r="3028">
      <c r="F3028" s="653" t="n"/>
    </row>
    <row r="3029">
      <c r="F3029" s="653" t="n"/>
    </row>
    <row r="3030">
      <c r="F3030" s="653" t="n"/>
    </row>
    <row r="3031">
      <c r="F3031" s="653" t="n"/>
    </row>
    <row r="3032">
      <c r="F3032" s="653" t="n"/>
    </row>
    <row r="3033">
      <c r="F3033" s="653" t="n"/>
    </row>
    <row r="3034">
      <c r="F3034" s="653" t="n"/>
    </row>
    <row r="3035">
      <c r="F3035" s="653" t="n"/>
    </row>
    <row r="3036">
      <c r="F3036" s="653" t="n"/>
    </row>
    <row r="3037">
      <c r="F3037" s="653" t="n"/>
    </row>
    <row r="3038">
      <c r="F3038" s="653" t="n"/>
    </row>
    <row r="3039">
      <c r="F3039" s="653" t="n"/>
    </row>
    <row r="3040">
      <c r="F3040" s="653" t="n"/>
    </row>
    <row r="3041">
      <c r="F3041" s="653" t="n"/>
    </row>
    <row r="3042">
      <c r="F3042" s="653" t="n"/>
    </row>
    <row r="3043">
      <c r="F3043" s="653" t="n"/>
    </row>
    <row r="3044">
      <c r="F3044" s="653" t="n"/>
    </row>
    <row r="3045">
      <c r="F3045" s="653" t="n"/>
    </row>
    <row r="3046">
      <c r="F3046" s="653" t="n"/>
    </row>
    <row r="3047">
      <c r="F3047" s="653" t="n"/>
    </row>
    <row r="3048">
      <c r="F3048" s="653" t="n"/>
    </row>
    <row r="3049">
      <c r="F3049" s="653" t="n"/>
    </row>
    <row r="3050">
      <c r="F3050" s="653" t="n"/>
    </row>
    <row r="3051">
      <c r="F3051" s="653" t="n"/>
    </row>
    <row r="3052">
      <c r="F3052" s="653" t="n"/>
    </row>
    <row r="3053">
      <c r="F3053" s="653" t="n"/>
    </row>
    <row r="3054">
      <c r="F3054" s="653" t="n"/>
    </row>
    <row r="3055">
      <c r="F3055" s="653" t="n"/>
    </row>
    <row r="3056">
      <c r="F3056" s="653" t="n"/>
    </row>
    <row r="3057">
      <c r="F3057" s="653" t="n"/>
    </row>
    <row r="3058">
      <c r="F3058" s="653" t="n"/>
    </row>
    <row r="3059">
      <c r="F3059" s="653" t="n"/>
    </row>
    <row r="3060">
      <c r="F3060" s="653" t="n"/>
    </row>
    <row r="3061">
      <c r="F3061" s="653" t="n"/>
    </row>
    <row r="3062">
      <c r="F3062" s="653" t="n"/>
    </row>
    <row r="3063">
      <c r="F3063" s="653" t="n"/>
    </row>
    <row r="3064">
      <c r="F3064" s="653" t="n"/>
    </row>
    <row r="3065">
      <c r="F3065" s="653" t="n"/>
    </row>
    <row r="3066">
      <c r="F3066" s="653" t="n"/>
    </row>
    <row r="3067">
      <c r="F3067" s="653" t="n"/>
    </row>
    <row r="3068">
      <c r="F3068" s="653" t="n"/>
    </row>
    <row r="3069">
      <c r="F3069" s="653" t="n"/>
    </row>
    <row r="3070">
      <c r="F3070" s="653" t="n"/>
    </row>
    <row r="3071">
      <c r="F3071" s="653" t="n"/>
    </row>
    <row r="3072">
      <c r="F3072" s="653" t="n"/>
    </row>
    <row r="3073">
      <c r="F3073" s="653" t="n"/>
    </row>
    <row r="3074">
      <c r="F3074" s="653" t="n"/>
    </row>
    <row r="3075">
      <c r="F3075" s="653" t="n"/>
    </row>
    <row r="3076">
      <c r="F3076" s="653" t="n"/>
    </row>
    <row r="3077">
      <c r="F3077" s="653" t="n"/>
    </row>
    <row r="3078">
      <c r="F3078" s="653" t="n"/>
    </row>
    <row r="3079">
      <c r="F3079" s="653" t="n"/>
    </row>
    <row r="3080">
      <c r="F3080" s="653" t="n"/>
    </row>
    <row r="3081">
      <c r="F3081" s="653" t="n"/>
    </row>
    <row r="3082">
      <c r="F3082" s="653" t="n"/>
    </row>
    <row r="3083">
      <c r="F3083" s="653" t="n"/>
    </row>
    <row r="3084">
      <c r="F3084" s="653" t="n"/>
    </row>
    <row r="3085">
      <c r="F3085" s="653" t="n"/>
    </row>
    <row r="3086">
      <c r="F3086" s="653" t="n"/>
    </row>
    <row r="3087">
      <c r="F3087" s="653" t="n"/>
    </row>
    <row r="3088">
      <c r="F3088" s="653" t="n"/>
    </row>
    <row r="3089">
      <c r="F3089" s="653" t="n"/>
    </row>
    <row r="3090">
      <c r="F3090" s="653" t="n"/>
    </row>
    <row r="3091">
      <c r="F3091" s="653" t="n"/>
    </row>
    <row r="3092">
      <c r="F3092" s="653" t="n"/>
    </row>
    <row r="3093">
      <c r="F3093" s="653" t="n"/>
    </row>
    <row r="3094">
      <c r="F3094" s="653" t="n"/>
    </row>
    <row r="3095">
      <c r="F3095" s="653" t="n"/>
    </row>
    <row r="3096">
      <c r="F3096" s="653" t="n"/>
    </row>
    <row r="3097">
      <c r="F3097" s="653" t="n"/>
    </row>
    <row r="3098">
      <c r="F3098" s="653" t="n"/>
    </row>
    <row r="3099">
      <c r="F3099" s="653" t="n"/>
    </row>
    <row r="3100">
      <c r="F3100" s="653" t="n"/>
    </row>
    <row r="3101">
      <c r="F3101" s="653" t="n"/>
    </row>
    <row r="3102">
      <c r="F3102" s="653" t="n"/>
    </row>
    <row r="3103">
      <c r="F3103" s="653" t="n"/>
    </row>
    <row r="3104">
      <c r="F3104" s="653" t="n"/>
    </row>
    <row r="3105">
      <c r="F3105" s="653" t="n"/>
    </row>
    <row r="3106">
      <c r="F3106" s="653" t="n"/>
    </row>
    <row r="3107">
      <c r="F3107" s="653" t="n"/>
    </row>
    <row r="3108">
      <c r="F3108" s="653" t="n"/>
    </row>
    <row r="3109">
      <c r="F3109" s="653" t="n"/>
    </row>
    <row r="3110">
      <c r="F3110" s="653" t="n"/>
    </row>
    <row r="3111">
      <c r="F3111" s="653" t="n"/>
    </row>
    <row r="3112">
      <c r="F3112" s="653" t="n"/>
    </row>
    <row r="3113">
      <c r="F3113" s="653" t="n"/>
    </row>
    <row r="3114">
      <c r="F3114" s="653" t="n"/>
    </row>
    <row r="3115">
      <c r="F3115" s="653" t="n"/>
    </row>
    <row r="3116">
      <c r="F3116" s="653" t="n"/>
    </row>
    <row r="3117">
      <c r="F3117" s="653" t="n"/>
    </row>
    <row r="3118">
      <c r="F3118" s="653" t="n"/>
    </row>
    <row r="3119">
      <c r="F3119" s="653" t="n"/>
    </row>
    <row r="3120">
      <c r="F3120" s="653" t="n"/>
    </row>
    <row r="3121">
      <c r="F3121" s="653" t="n"/>
    </row>
    <row r="3122">
      <c r="F3122" s="653" t="n"/>
    </row>
    <row r="3123">
      <c r="F3123" s="653" t="n"/>
    </row>
    <row r="3124">
      <c r="F3124" s="653" t="n"/>
    </row>
    <row r="3125">
      <c r="F3125" s="653" t="n"/>
    </row>
    <row r="3126">
      <c r="F3126" s="653" t="n"/>
    </row>
    <row r="3127">
      <c r="F3127" s="653" t="n"/>
    </row>
    <row r="3128">
      <c r="F3128" s="653" t="n"/>
    </row>
    <row r="3129">
      <c r="F3129" s="653" t="n"/>
    </row>
    <row r="3130">
      <c r="F3130" s="653" t="n"/>
    </row>
    <row r="3131">
      <c r="F3131" s="653" t="n"/>
    </row>
    <row r="3132">
      <c r="F3132" s="653" t="n"/>
    </row>
    <row r="3133">
      <c r="F3133" s="653" t="n"/>
    </row>
    <row r="3134">
      <c r="F3134" s="653" t="n"/>
    </row>
    <row r="3135">
      <c r="F3135" s="653" t="n"/>
    </row>
    <row r="3136">
      <c r="F3136" s="653" t="n"/>
    </row>
    <row r="3137">
      <c r="F3137" s="653" t="n"/>
    </row>
    <row r="3138">
      <c r="F3138" s="653" t="n"/>
    </row>
    <row r="3139">
      <c r="F3139" s="653" t="n"/>
    </row>
    <row r="3140">
      <c r="F3140" s="653" t="n"/>
    </row>
    <row r="3141">
      <c r="F3141" s="653" t="n"/>
    </row>
    <row r="3142">
      <c r="F3142" s="653" t="n"/>
    </row>
    <row r="3143">
      <c r="F3143" s="653" t="n"/>
    </row>
    <row r="3144">
      <c r="F3144" s="653" t="n"/>
    </row>
    <row r="3145">
      <c r="F3145" s="653" t="n"/>
    </row>
    <row r="3146">
      <c r="F3146" s="653" t="n"/>
    </row>
    <row r="3147">
      <c r="F3147" s="653" t="n"/>
    </row>
    <row r="3148">
      <c r="F3148" s="653" t="n"/>
    </row>
    <row r="3149">
      <c r="F3149" s="653" t="n"/>
    </row>
    <row r="3150">
      <c r="F3150" s="653" t="n"/>
    </row>
    <row r="3151">
      <c r="F3151" s="653" t="n"/>
    </row>
    <row r="3152">
      <c r="F3152" s="653" t="n"/>
    </row>
    <row r="3153">
      <c r="F3153" s="653" t="n"/>
    </row>
    <row r="3154">
      <c r="F3154" s="653" t="n"/>
    </row>
    <row r="3155">
      <c r="F3155" s="653" t="n"/>
    </row>
    <row r="3156">
      <c r="F3156" s="653" t="n"/>
    </row>
    <row r="3157">
      <c r="F3157" s="653" t="n"/>
    </row>
    <row r="3158">
      <c r="F3158" s="653" t="n"/>
    </row>
    <row r="3159">
      <c r="F3159" s="653" t="n"/>
    </row>
    <row r="3160">
      <c r="F3160" s="653" t="n"/>
    </row>
    <row r="3161">
      <c r="F3161" s="653" t="n"/>
    </row>
    <row r="3162">
      <c r="F3162" s="653" t="n"/>
    </row>
    <row r="3163">
      <c r="F3163" s="653" t="n"/>
    </row>
    <row r="3164">
      <c r="F3164" s="653" t="n"/>
    </row>
    <row r="3165">
      <c r="F3165" s="653" t="n"/>
    </row>
    <row r="3166">
      <c r="F3166" s="653" t="n"/>
    </row>
    <row r="3167">
      <c r="F3167" s="653" t="n"/>
    </row>
    <row r="3168">
      <c r="F3168" s="653" t="n"/>
    </row>
    <row r="3169">
      <c r="F3169" s="653" t="n"/>
    </row>
    <row r="3170">
      <c r="F3170" s="653" t="n"/>
    </row>
    <row r="3171">
      <c r="F3171" s="653" t="n"/>
    </row>
    <row r="3172">
      <c r="F3172" s="653" t="n"/>
    </row>
    <row r="3173">
      <c r="F3173" s="653" t="n"/>
    </row>
    <row r="3174">
      <c r="F3174" s="653" t="n"/>
    </row>
    <row r="3175">
      <c r="F3175" s="653" t="n"/>
    </row>
    <row r="3176">
      <c r="F3176" s="653" t="n"/>
    </row>
    <row r="3177">
      <c r="F3177" s="653" t="n"/>
    </row>
    <row r="3178">
      <c r="F3178" s="653" t="n"/>
    </row>
    <row r="3179">
      <c r="F3179" s="653" t="n"/>
    </row>
    <row r="3180">
      <c r="F3180" s="653" t="n"/>
    </row>
    <row r="3181">
      <c r="F3181" s="653" t="n"/>
    </row>
    <row r="3182">
      <c r="F3182" s="653" t="n"/>
    </row>
    <row r="3183">
      <c r="F3183" s="653" t="n"/>
    </row>
    <row r="3184">
      <c r="F3184" s="653" t="n"/>
    </row>
    <row r="3185">
      <c r="F3185" s="653" t="n"/>
    </row>
    <row r="3186">
      <c r="F3186" s="653" t="n"/>
    </row>
    <row r="3187">
      <c r="F3187" s="653" t="n"/>
    </row>
    <row r="3188">
      <c r="F3188" s="653" t="n"/>
    </row>
    <row r="3189">
      <c r="F3189" s="653" t="n"/>
    </row>
    <row r="3190">
      <c r="F3190" s="653" t="n"/>
    </row>
    <row r="3191">
      <c r="F3191" s="653" t="n"/>
    </row>
    <row r="3192">
      <c r="F3192" s="653" t="n"/>
    </row>
    <row r="3193">
      <c r="F3193" s="653" t="n"/>
    </row>
    <row r="3194">
      <c r="F3194" s="653" t="n"/>
    </row>
    <row r="3195">
      <c r="F3195" s="653" t="n"/>
    </row>
    <row r="3196">
      <c r="F3196" s="653" t="n"/>
    </row>
    <row r="3197">
      <c r="F3197" s="653" t="n"/>
    </row>
    <row r="3198">
      <c r="F3198" s="653" t="n"/>
    </row>
    <row r="3199">
      <c r="F3199" s="653" t="n"/>
    </row>
    <row r="3200">
      <c r="F3200" s="653" t="n"/>
    </row>
    <row r="3201">
      <c r="F3201" s="653" t="n"/>
    </row>
    <row r="3202">
      <c r="F3202" s="653" t="n"/>
    </row>
    <row r="3203">
      <c r="F3203" s="653" t="n"/>
    </row>
    <row r="3204">
      <c r="F3204" s="653" t="n"/>
    </row>
    <row r="3205">
      <c r="F3205" s="653" t="n"/>
    </row>
    <row r="3206">
      <c r="F3206" s="653" t="n"/>
    </row>
    <row r="3207">
      <c r="F3207" s="653" t="n"/>
    </row>
    <row r="3208">
      <c r="F3208" s="653" t="n"/>
    </row>
    <row r="3209">
      <c r="F3209" s="653" t="n"/>
    </row>
    <row r="3210">
      <c r="F3210" s="653" t="n"/>
    </row>
    <row r="3211">
      <c r="F3211" s="653" t="n"/>
    </row>
    <row r="3212">
      <c r="F3212" s="653" t="n"/>
    </row>
    <row r="3213">
      <c r="F3213" s="653" t="n"/>
    </row>
    <row r="3214">
      <c r="F3214" s="653" t="n"/>
    </row>
    <row r="3215">
      <c r="F3215" s="653" t="n"/>
    </row>
    <row r="3216">
      <c r="F3216" s="653" t="n"/>
    </row>
    <row r="3217">
      <c r="F3217" s="653" t="n"/>
    </row>
    <row r="3218">
      <c r="F3218" s="653" t="n"/>
    </row>
    <row r="3219">
      <c r="F3219" s="653" t="n"/>
    </row>
    <row r="3220">
      <c r="F3220" s="653" t="n"/>
    </row>
    <row r="3221">
      <c r="F3221" s="653" t="n"/>
    </row>
    <row r="3222">
      <c r="F3222" s="653" t="n"/>
    </row>
    <row r="3223">
      <c r="F3223" s="653" t="n"/>
    </row>
    <row r="3224">
      <c r="F3224" s="653" t="n"/>
    </row>
    <row r="3225">
      <c r="F3225" s="653" t="n"/>
    </row>
    <row r="3226">
      <c r="F3226" s="653" t="n"/>
    </row>
    <row r="3227">
      <c r="F3227" s="653" t="n"/>
    </row>
    <row r="3228">
      <c r="F3228" s="653" t="n"/>
    </row>
    <row r="3229">
      <c r="F3229" s="653" t="n"/>
    </row>
    <row r="3230">
      <c r="F3230" s="653" t="n"/>
    </row>
    <row r="3231">
      <c r="F3231" s="653" t="n"/>
    </row>
    <row r="3232">
      <c r="F3232" s="653" t="n"/>
    </row>
    <row r="3233">
      <c r="F3233" s="653" t="n"/>
    </row>
    <row r="3234">
      <c r="F3234" s="653" t="n"/>
    </row>
    <row r="3235">
      <c r="F3235" s="653" t="n"/>
    </row>
    <row r="3236">
      <c r="F3236" s="653" t="n"/>
    </row>
    <row r="3237">
      <c r="F3237" s="653" t="n"/>
    </row>
    <row r="3238">
      <c r="F3238" s="653" t="n"/>
    </row>
    <row r="3239">
      <c r="F3239" s="653" t="n"/>
    </row>
    <row r="3240">
      <c r="F3240" s="653" t="n"/>
    </row>
    <row r="3241">
      <c r="F3241" s="653" t="n"/>
    </row>
    <row r="3242">
      <c r="F3242" s="653" t="n"/>
    </row>
    <row r="3243">
      <c r="F3243" s="653" t="n"/>
    </row>
    <row r="3244">
      <c r="F3244" s="653" t="n"/>
    </row>
    <row r="3245">
      <c r="F3245" s="653" t="n"/>
    </row>
    <row r="3246">
      <c r="F3246" s="653" t="n"/>
    </row>
    <row r="3247">
      <c r="F3247" s="653" t="n"/>
    </row>
    <row r="3248">
      <c r="F3248" s="653" t="n"/>
    </row>
    <row r="3249">
      <c r="F3249" s="653" t="n"/>
    </row>
    <row r="3250">
      <c r="F3250" s="653" t="n"/>
    </row>
    <row r="3251">
      <c r="F3251" s="653" t="n"/>
    </row>
    <row r="3252">
      <c r="F3252" s="653" t="n"/>
    </row>
    <row r="3253">
      <c r="F3253" s="653" t="n"/>
    </row>
    <row r="3254">
      <c r="F3254" s="653" t="n"/>
    </row>
    <row r="3255">
      <c r="F3255" s="653" t="n"/>
    </row>
    <row r="3256">
      <c r="F3256" s="653" t="n"/>
    </row>
    <row r="3257">
      <c r="F3257" s="653" t="n"/>
    </row>
    <row r="3258">
      <c r="F3258" s="653" t="n"/>
    </row>
    <row r="3259">
      <c r="F3259" s="653" t="n"/>
    </row>
    <row r="3260">
      <c r="F3260" s="653" t="n"/>
    </row>
    <row r="3261">
      <c r="F3261" s="653" t="n"/>
    </row>
    <row r="3262">
      <c r="F3262" s="653" t="n"/>
    </row>
    <row r="3263">
      <c r="F3263" s="653" t="n"/>
    </row>
    <row r="3264">
      <c r="F3264" s="653" t="n"/>
    </row>
    <row r="3265">
      <c r="F3265" s="653" t="n"/>
    </row>
    <row r="3266">
      <c r="F3266" s="653" t="n"/>
    </row>
    <row r="3267">
      <c r="F3267" s="653" t="n"/>
    </row>
    <row r="3268">
      <c r="F3268" s="653" t="n"/>
    </row>
    <row r="3269">
      <c r="F3269" s="653" t="n"/>
    </row>
    <row r="3270">
      <c r="F3270" s="653" t="n"/>
    </row>
    <row r="3271">
      <c r="F3271" s="653" t="n"/>
    </row>
    <row r="3272">
      <c r="F3272" s="653" t="n"/>
    </row>
    <row r="3273">
      <c r="F3273" s="653" t="n"/>
    </row>
    <row r="3274">
      <c r="F3274" s="653" t="n"/>
    </row>
    <row r="3275">
      <c r="F3275" s="653" t="n"/>
    </row>
    <row r="3276">
      <c r="F3276" s="653" t="n"/>
    </row>
    <row r="3277">
      <c r="F3277" s="653" t="n"/>
    </row>
    <row r="3278">
      <c r="F3278" s="653" t="n"/>
    </row>
    <row r="3279">
      <c r="F3279" s="653" t="n"/>
    </row>
    <row r="3280">
      <c r="F3280" s="653" t="n"/>
    </row>
    <row r="3281">
      <c r="F3281" s="653" t="n"/>
    </row>
    <row r="3282">
      <c r="F3282" s="653" t="n"/>
    </row>
    <row r="3283">
      <c r="F3283" s="653" t="n"/>
    </row>
    <row r="3284">
      <c r="F3284" s="653" t="n"/>
    </row>
    <row r="3285">
      <c r="F3285" s="653" t="n"/>
    </row>
    <row r="3286">
      <c r="F3286" s="653" t="n"/>
    </row>
    <row r="3287">
      <c r="F3287" s="653" t="n"/>
    </row>
    <row r="3288">
      <c r="F3288" s="653" t="n"/>
    </row>
    <row r="3289">
      <c r="F3289" s="653" t="n"/>
    </row>
    <row r="3290">
      <c r="F3290" s="653" t="n"/>
    </row>
    <row r="3291">
      <c r="F3291" s="653" t="n"/>
    </row>
    <row r="3292">
      <c r="F3292" s="653" t="n"/>
    </row>
    <row r="3293">
      <c r="F3293" s="653" t="n"/>
    </row>
    <row r="3294">
      <c r="F3294" s="653" t="n"/>
    </row>
    <row r="3295">
      <c r="F3295" s="653" t="n"/>
    </row>
    <row r="3296">
      <c r="F3296" s="653" t="n"/>
    </row>
    <row r="3297">
      <c r="F3297" s="653" t="n"/>
    </row>
    <row r="3298">
      <c r="F3298" s="653" t="n"/>
    </row>
    <row r="3299">
      <c r="F3299" s="653" t="n"/>
    </row>
    <row r="3300">
      <c r="F3300" s="653" t="n"/>
    </row>
    <row r="3301">
      <c r="F3301" s="653" t="n"/>
    </row>
    <row r="3302">
      <c r="F3302" s="653" t="n"/>
    </row>
    <row r="3303">
      <c r="F3303" s="653" t="n"/>
    </row>
    <row r="3304">
      <c r="F3304" s="653" t="n"/>
    </row>
    <row r="3305">
      <c r="F3305" s="653" t="n"/>
    </row>
    <row r="3306">
      <c r="F3306" s="653" t="n"/>
    </row>
    <row r="3307">
      <c r="F3307" s="653" t="n"/>
    </row>
    <row r="3308">
      <c r="F3308" s="653" t="n"/>
    </row>
    <row r="3309">
      <c r="F3309" s="653" t="n"/>
    </row>
    <row r="3310">
      <c r="F3310" s="653" t="n"/>
    </row>
    <row r="3311">
      <c r="F3311" s="653" t="n"/>
    </row>
    <row r="3312">
      <c r="F3312" s="653" t="n"/>
    </row>
    <row r="3313">
      <c r="F3313" s="653" t="n"/>
    </row>
    <row r="3314">
      <c r="F3314" s="653" t="n"/>
    </row>
    <row r="3315">
      <c r="F3315" s="653" t="n"/>
    </row>
    <row r="3316">
      <c r="F3316" s="653" t="n"/>
    </row>
    <row r="3317">
      <c r="F3317" s="653" t="n"/>
    </row>
    <row r="3318">
      <c r="F3318" s="653" t="n"/>
    </row>
    <row r="3319">
      <c r="F3319" s="653" t="n"/>
    </row>
    <row r="3320">
      <c r="F3320" s="653" t="n"/>
    </row>
    <row r="3321">
      <c r="F3321" s="653" t="n"/>
    </row>
    <row r="3322">
      <c r="F3322" s="653" t="n"/>
    </row>
    <row r="3323">
      <c r="F3323" s="653" t="n"/>
    </row>
    <row r="3324">
      <c r="F3324" s="653" t="n"/>
    </row>
    <row r="3325">
      <c r="F3325" s="653" t="n"/>
    </row>
    <row r="3326">
      <c r="F3326" s="653" t="n"/>
    </row>
    <row r="3327">
      <c r="F3327" s="653" t="n"/>
    </row>
    <row r="3328">
      <c r="F3328" s="653" t="n"/>
    </row>
    <row r="3329">
      <c r="F3329" s="653" t="n"/>
    </row>
    <row r="3330">
      <c r="F3330" s="653" t="n"/>
    </row>
    <row r="3331">
      <c r="F3331" s="653" t="n"/>
    </row>
    <row r="3332">
      <c r="F3332" s="653" t="n"/>
    </row>
    <row r="3333">
      <c r="F3333" s="653" t="n"/>
    </row>
    <row r="3334">
      <c r="F3334" s="653" t="n"/>
    </row>
    <row r="3335">
      <c r="F3335" s="653" t="n"/>
    </row>
    <row r="3336">
      <c r="F3336" s="653" t="n"/>
    </row>
    <row r="3337">
      <c r="F3337" s="653" t="n"/>
    </row>
    <row r="3338">
      <c r="F3338" s="653" t="n"/>
    </row>
    <row r="3339">
      <c r="F3339" s="653" t="n"/>
    </row>
    <row r="3340">
      <c r="F3340" s="653" t="n"/>
    </row>
    <row r="3341">
      <c r="F3341" s="653" t="n"/>
    </row>
    <row r="3342">
      <c r="F3342" s="653" t="n"/>
    </row>
    <row r="3343">
      <c r="F3343" s="653" t="n"/>
    </row>
    <row r="3344">
      <c r="F3344" s="653" t="n"/>
    </row>
    <row r="3345">
      <c r="F3345" s="653" t="n"/>
    </row>
    <row r="3346">
      <c r="F3346" s="653" t="n"/>
    </row>
    <row r="3347">
      <c r="F3347" s="653" t="n"/>
    </row>
    <row r="3348">
      <c r="F3348" s="653" t="n"/>
    </row>
    <row r="3349">
      <c r="F3349" s="653" t="n"/>
    </row>
    <row r="3350">
      <c r="F3350" s="653" t="n"/>
    </row>
    <row r="3351">
      <c r="F3351" s="653" t="n"/>
    </row>
    <row r="3352">
      <c r="F3352" s="653" t="n"/>
    </row>
    <row r="3353">
      <c r="F3353" s="653" t="n"/>
    </row>
    <row r="3354">
      <c r="F3354" s="653" t="n"/>
    </row>
    <row r="3355">
      <c r="F3355" s="653" t="n"/>
    </row>
    <row r="3356">
      <c r="F3356" s="653" t="n"/>
    </row>
    <row r="3357">
      <c r="F3357" s="653" t="n"/>
    </row>
    <row r="3358">
      <c r="F3358" s="653" t="n"/>
    </row>
    <row r="3359">
      <c r="F3359" s="653" t="n"/>
    </row>
    <row r="3360">
      <c r="F3360" s="653" t="n"/>
    </row>
    <row r="3361">
      <c r="F3361" s="653" t="n"/>
    </row>
    <row r="3362">
      <c r="F3362" s="653" t="n"/>
    </row>
    <row r="3363">
      <c r="F3363" s="653" t="n"/>
    </row>
    <row r="3364">
      <c r="F3364" s="653" t="n"/>
    </row>
    <row r="3365">
      <c r="F3365" s="653" t="n"/>
    </row>
    <row r="3366">
      <c r="F3366" s="653" t="n"/>
    </row>
    <row r="3367">
      <c r="F3367" s="653" t="n"/>
    </row>
    <row r="3368">
      <c r="F3368" s="653" t="n"/>
    </row>
    <row r="3369">
      <c r="F3369" s="653" t="n"/>
    </row>
    <row r="3370">
      <c r="F3370" s="653" t="n"/>
    </row>
    <row r="3371">
      <c r="F3371" s="653" t="n"/>
    </row>
    <row r="3372">
      <c r="F3372" s="653" t="n"/>
    </row>
    <row r="3373">
      <c r="F3373" s="653" t="n"/>
    </row>
    <row r="3374">
      <c r="F3374" s="653" t="n"/>
    </row>
    <row r="3375">
      <c r="F3375" s="653" t="n"/>
    </row>
    <row r="3376">
      <c r="F3376" s="653" t="n"/>
    </row>
    <row r="3377">
      <c r="F3377" s="653" t="n"/>
    </row>
    <row r="3378">
      <c r="F3378" s="653" t="n"/>
    </row>
    <row r="3379">
      <c r="F3379" s="653" t="n"/>
    </row>
    <row r="3380">
      <c r="F3380" s="653" t="n"/>
    </row>
    <row r="3381">
      <c r="F3381" s="653" t="n"/>
    </row>
    <row r="3382">
      <c r="F3382" s="653" t="n"/>
    </row>
    <row r="3383">
      <c r="F3383" s="653" t="n"/>
    </row>
    <row r="3384">
      <c r="F3384" s="653" t="n"/>
    </row>
    <row r="3385">
      <c r="F3385" s="653" t="n"/>
    </row>
    <row r="3386">
      <c r="F3386" s="653" t="n"/>
    </row>
    <row r="3387">
      <c r="F3387" s="653" t="n"/>
    </row>
    <row r="3388">
      <c r="F3388" s="653" t="n"/>
    </row>
    <row r="3389">
      <c r="F3389" s="653" t="n"/>
    </row>
    <row r="3390">
      <c r="F3390" s="653" t="n"/>
    </row>
    <row r="3391">
      <c r="F3391" s="653" t="n"/>
    </row>
    <row r="3392">
      <c r="F3392" s="653" t="n"/>
    </row>
    <row r="3393">
      <c r="F3393" s="653" t="n"/>
    </row>
    <row r="3394">
      <c r="F3394" s="653" t="n"/>
    </row>
    <row r="3395">
      <c r="F3395" s="653" t="n"/>
    </row>
    <row r="3396">
      <c r="F3396" s="653" t="n"/>
    </row>
    <row r="3397">
      <c r="F3397" s="653" t="n"/>
    </row>
    <row r="3398">
      <c r="F3398" s="653" t="n"/>
    </row>
    <row r="3399">
      <c r="F3399" s="653" t="n"/>
    </row>
    <row r="3400">
      <c r="F3400" s="653" t="n"/>
    </row>
    <row r="3401">
      <c r="F3401" s="653" t="n"/>
    </row>
    <row r="3402">
      <c r="F3402" s="653" t="n"/>
    </row>
    <row r="3403">
      <c r="F3403" s="653" t="n"/>
    </row>
    <row r="3404">
      <c r="F3404" s="653" t="n"/>
    </row>
    <row r="3405">
      <c r="F3405" s="653" t="n"/>
    </row>
    <row r="3406">
      <c r="F3406" s="653" t="n"/>
    </row>
    <row r="3407">
      <c r="F3407" s="653" t="n"/>
    </row>
    <row r="3408">
      <c r="F3408" s="653" t="n"/>
    </row>
    <row r="3409">
      <c r="F3409" s="653" t="n"/>
    </row>
    <row r="3410">
      <c r="F3410" s="653" t="n"/>
    </row>
    <row r="3411">
      <c r="F3411" s="653" t="n"/>
    </row>
    <row r="3412">
      <c r="F3412" s="653" t="n"/>
    </row>
    <row r="3413">
      <c r="F3413" s="653" t="n"/>
    </row>
    <row r="3414">
      <c r="F3414" s="653" t="n"/>
    </row>
    <row r="3415">
      <c r="F3415" s="653" t="n"/>
    </row>
    <row r="3416">
      <c r="F3416" s="653" t="n"/>
    </row>
    <row r="3417">
      <c r="F3417" s="653" t="n"/>
    </row>
    <row r="3418">
      <c r="F3418" s="653" t="n"/>
    </row>
    <row r="3419">
      <c r="F3419" s="653" t="n"/>
    </row>
    <row r="3420">
      <c r="F3420" s="653" t="n"/>
    </row>
    <row r="3421">
      <c r="F3421" s="653" t="n"/>
    </row>
    <row r="3422">
      <c r="F3422" s="653" t="n"/>
    </row>
    <row r="3423">
      <c r="F3423" s="653" t="n"/>
    </row>
    <row r="3424">
      <c r="F3424" s="653" t="n"/>
    </row>
    <row r="3425">
      <c r="F3425" s="653" t="n"/>
    </row>
    <row r="3426">
      <c r="F3426" s="653" t="n"/>
    </row>
    <row r="3427">
      <c r="F3427" s="653" t="n"/>
    </row>
    <row r="3428">
      <c r="F3428" s="653" t="n"/>
    </row>
    <row r="3429">
      <c r="F3429" s="653" t="n"/>
    </row>
    <row r="3430">
      <c r="F3430" s="653" t="n"/>
    </row>
    <row r="3431">
      <c r="F3431" s="653" t="n"/>
    </row>
    <row r="3432">
      <c r="F3432" s="653" t="n"/>
    </row>
    <row r="3433">
      <c r="F3433" s="653" t="n"/>
    </row>
    <row r="3434">
      <c r="F3434" s="653" t="n"/>
    </row>
    <row r="3435">
      <c r="F3435" s="653" t="n"/>
    </row>
    <row r="3436">
      <c r="F3436" s="653" t="n"/>
    </row>
    <row r="3437">
      <c r="F3437" s="653" t="n"/>
    </row>
    <row r="3438">
      <c r="F3438" s="653" t="n"/>
    </row>
    <row r="3439">
      <c r="F3439" s="653" t="n"/>
    </row>
    <row r="3440">
      <c r="F3440" s="653" t="n"/>
    </row>
    <row r="3441">
      <c r="F3441" s="653" t="n"/>
    </row>
    <row r="3442">
      <c r="F3442" s="653" t="n"/>
    </row>
    <row r="3443">
      <c r="F3443" s="653" t="n"/>
    </row>
    <row r="3444">
      <c r="F3444" s="653" t="n"/>
    </row>
    <row r="3445">
      <c r="F3445" s="653" t="n"/>
    </row>
    <row r="3446">
      <c r="F3446" s="653" t="n"/>
    </row>
    <row r="3447">
      <c r="F3447" s="653" t="n"/>
    </row>
    <row r="3448">
      <c r="F3448" s="653" t="n"/>
    </row>
    <row r="3449">
      <c r="F3449" s="653" t="n"/>
    </row>
    <row r="3450">
      <c r="F3450" s="653" t="n"/>
    </row>
    <row r="3451">
      <c r="F3451" s="653" t="n"/>
    </row>
    <row r="3452">
      <c r="F3452" s="653" t="n"/>
    </row>
    <row r="3453">
      <c r="F3453" s="653" t="n"/>
    </row>
    <row r="3454">
      <c r="F3454" s="653" t="n"/>
    </row>
    <row r="3455">
      <c r="F3455" s="653" t="n"/>
    </row>
    <row r="3456">
      <c r="F3456" s="653" t="n"/>
    </row>
    <row r="3457">
      <c r="F3457" s="653" t="n"/>
    </row>
    <row r="3458">
      <c r="F3458" s="653" t="n"/>
    </row>
    <row r="3459">
      <c r="F3459" s="653" t="n"/>
    </row>
    <row r="3460">
      <c r="F3460" s="653" t="n"/>
    </row>
    <row r="3461">
      <c r="F3461" s="653" t="n"/>
    </row>
    <row r="3462">
      <c r="F3462" s="653" t="n"/>
    </row>
    <row r="3463">
      <c r="F3463" s="653" t="n"/>
    </row>
    <row r="3464">
      <c r="F3464" s="653" t="n"/>
    </row>
    <row r="3465">
      <c r="F3465" s="653" t="n"/>
    </row>
    <row r="3466">
      <c r="F3466" s="653" t="n"/>
    </row>
    <row r="3467">
      <c r="F3467" s="653" t="n"/>
    </row>
    <row r="3468">
      <c r="F3468" s="653" t="n"/>
    </row>
    <row r="3469">
      <c r="F3469" s="653" t="n"/>
    </row>
    <row r="3470">
      <c r="F3470" s="653" t="n"/>
    </row>
    <row r="3471">
      <c r="F3471" s="653" t="n"/>
    </row>
    <row r="3472">
      <c r="F3472" s="653" t="n"/>
    </row>
    <row r="3473">
      <c r="F3473" s="653" t="n"/>
    </row>
    <row r="3474">
      <c r="F3474" s="653" t="n"/>
    </row>
    <row r="3475">
      <c r="F3475" s="653" t="n"/>
    </row>
    <row r="3476">
      <c r="F3476" s="653" t="n"/>
    </row>
    <row r="3477">
      <c r="F3477" s="653" t="n"/>
    </row>
    <row r="3478">
      <c r="F3478" s="653" t="n"/>
    </row>
    <row r="3479">
      <c r="F3479" s="653" t="n"/>
    </row>
    <row r="3480">
      <c r="F3480" s="653" t="n"/>
    </row>
    <row r="3481">
      <c r="F3481" s="653" t="n"/>
    </row>
    <row r="3482">
      <c r="F3482" s="653" t="n"/>
    </row>
    <row r="3483">
      <c r="F3483" s="653" t="n"/>
    </row>
    <row r="3484">
      <c r="F3484" s="653" t="n"/>
    </row>
    <row r="3485">
      <c r="F3485" s="653" t="n"/>
    </row>
    <row r="3486">
      <c r="F3486" s="653" t="n"/>
    </row>
    <row r="3487">
      <c r="F3487" s="653" t="n"/>
    </row>
    <row r="3488">
      <c r="F3488" s="653" t="n"/>
    </row>
    <row r="3489">
      <c r="F3489" s="653" t="n"/>
    </row>
    <row r="3490">
      <c r="F3490" s="653" t="n"/>
    </row>
    <row r="3491">
      <c r="F3491" s="653" t="n"/>
    </row>
    <row r="3492">
      <c r="F3492" s="653" t="n"/>
    </row>
    <row r="3493">
      <c r="F3493" s="653" t="n"/>
    </row>
    <row r="3494">
      <c r="F3494" s="653" t="n"/>
    </row>
    <row r="3495">
      <c r="F3495" s="653" t="n"/>
    </row>
    <row r="3496">
      <c r="F3496" s="653" t="n"/>
    </row>
    <row r="3497">
      <c r="F3497" s="653" t="n"/>
    </row>
    <row r="3498">
      <c r="F3498" s="653" t="n"/>
    </row>
    <row r="3499">
      <c r="F3499" s="653" t="n"/>
    </row>
    <row r="3500">
      <c r="F3500" s="653" t="n"/>
    </row>
    <row r="3501">
      <c r="F3501" s="653" t="n"/>
    </row>
    <row r="3502">
      <c r="F3502" s="653" t="n"/>
    </row>
    <row r="3503">
      <c r="F3503" s="653" t="n"/>
    </row>
    <row r="3504">
      <c r="F3504" s="653" t="n"/>
    </row>
    <row r="3505">
      <c r="F3505" s="653" t="n"/>
    </row>
    <row r="3506">
      <c r="F3506" s="653" t="n"/>
    </row>
    <row r="3507">
      <c r="F3507" s="653" t="n"/>
    </row>
    <row r="3508">
      <c r="F3508" s="653" t="n"/>
    </row>
    <row r="3509">
      <c r="F3509" s="653" t="n"/>
    </row>
    <row r="3510">
      <c r="F3510" s="653" t="n"/>
    </row>
    <row r="3511">
      <c r="F3511" s="653" t="n"/>
    </row>
    <row r="3512">
      <c r="F3512" s="653" t="n"/>
    </row>
    <row r="3513">
      <c r="F3513" s="653" t="n"/>
    </row>
    <row r="3514">
      <c r="F3514" s="653" t="n"/>
    </row>
    <row r="3515">
      <c r="F3515" s="653" t="n"/>
    </row>
    <row r="3516">
      <c r="F3516" s="653" t="n"/>
    </row>
    <row r="3517">
      <c r="F3517" s="653" t="n"/>
    </row>
    <row r="3518">
      <c r="F3518" s="653" t="n"/>
    </row>
    <row r="3519">
      <c r="F3519" s="653" t="n"/>
    </row>
    <row r="3520">
      <c r="F3520" s="653" t="n"/>
    </row>
    <row r="3521">
      <c r="F3521" s="653" t="n"/>
    </row>
    <row r="3522">
      <c r="F3522" s="653" t="n"/>
    </row>
    <row r="3523">
      <c r="F3523" s="653" t="n"/>
    </row>
    <row r="3524">
      <c r="F3524" s="653" t="n"/>
    </row>
    <row r="3525">
      <c r="F3525" s="653" t="n"/>
    </row>
    <row r="3526">
      <c r="F3526" s="653" t="n"/>
    </row>
    <row r="3527">
      <c r="F3527" s="653" t="n"/>
    </row>
    <row r="3528">
      <c r="F3528" s="653" t="n"/>
    </row>
    <row r="3529">
      <c r="F3529" s="653" t="n"/>
    </row>
    <row r="3530">
      <c r="F3530" s="653" t="n"/>
    </row>
    <row r="3531">
      <c r="F3531" s="653" t="n"/>
    </row>
    <row r="3532">
      <c r="F3532" s="653" t="n"/>
    </row>
    <row r="3533">
      <c r="F3533" s="653" t="n"/>
    </row>
    <row r="3534">
      <c r="F3534" s="653" t="n"/>
    </row>
    <row r="3535">
      <c r="F3535" s="653" t="n"/>
    </row>
    <row r="3536">
      <c r="F3536" s="653" t="n"/>
    </row>
    <row r="3537">
      <c r="F3537" s="653" t="n"/>
    </row>
    <row r="3538">
      <c r="F3538" s="653" t="n"/>
    </row>
    <row r="3539">
      <c r="F3539" s="653" t="n"/>
    </row>
    <row r="3540">
      <c r="F3540" s="653" t="n"/>
    </row>
    <row r="3541">
      <c r="F3541" s="653" t="n"/>
    </row>
    <row r="3542">
      <c r="F3542" s="653" t="n"/>
    </row>
    <row r="3543">
      <c r="F3543" s="653" t="n"/>
    </row>
    <row r="3544">
      <c r="F3544" s="653" t="n"/>
    </row>
    <row r="3545">
      <c r="F3545" s="653" t="n"/>
    </row>
    <row r="3546">
      <c r="F3546" s="653" t="n"/>
    </row>
    <row r="3547">
      <c r="F3547" s="653" t="n"/>
    </row>
    <row r="3548">
      <c r="F3548" s="653" t="n"/>
    </row>
    <row r="3549">
      <c r="F3549" s="653" t="n"/>
    </row>
    <row r="3550">
      <c r="F3550" s="653" t="n"/>
    </row>
    <row r="3551">
      <c r="F3551" s="653" t="n"/>
    </row>
    <row r="3552">
      <c r="F3552" s="653" t="n"/>
    </row>
    <row r="3553">
      <c r="F3553" s="653" t="n"/>
    </row>
    <row r="3554">
      <c r="F3554" s="653" t="n"/>
    </row>
    <row r="3555">
      <c r="F3555" s="653" t="n"/>
    </row>
    <row r="3556">
      <c r="F3556" s="653" t="n"/>
    </row>
    <row r="3557">
      <c r="F3557" s="653" t="n"/>
    </row>
    <row r="3558">
      <c r="F3558" s="653" t="n"/>
    </row>
    <row r="3559">
      <c r="F3559" s="653" t="n"/>
    </row>
    <row r="3560">
      <c r="F3560" s="653" t="n"/>
    </row>
    <row r="3561">
      <c r="F3561" s="653" t="n"/>
    </row>
    <row r="3562">
      <c r="F3562" s="653" t="n"/>
    </row>
    <row r="3563">
      <c r="F3563" s="653" t="n"/>
    </row>
    <row r="3564">
      <c r="F3564" s="653" t="n"/>
    </row>
    <row r="3565">
      <c r="F3565" s="653" t="n"/>
    </row>
    <row r="3566">
      <c r="F3566" s="653" t="n"/>
    </row>
    <row r="3567">
      <c r="F3567" s="653" t="n"/>
    </row>
    <row r="3568">
      <c r="F3568" s="653" t="n"/>
    </row>
    <row r="3569">
      <c r="F3569" s="653" t="n"/>
    </row>
    <row r="3570">
      <c r="F3570" s="653" t="n"/>
    </row>
    <row r="3571">
      <c r="F3571" s="653" t="n"/>
    </row>
    <row r="3572">
      <c r="F3572" s="653" t="n"/>
    </row>
    <row r="3573">
      <c r="F3573" s="653" t="n"/>
    </row>
    <row r="3574">
      <c r="F3574" s="653" t="n"/>
    </row>
    <row r="3575">
      <c r="F3575" s="653" t="n"/>
    </row>
    <row r="3576">
      <c r="F3576" s="653" t="n"/>
    </row>
    <row r="3577">
      <c r="F3577" s="653" t="n"/>
    </row>
    <row r="3578">
      <c r="F3578" s="653" t="n"/>
    </row>
    <row r="3579">
      <c r="F3579" s="653" t="n"/>
    </row>
    <row r="3580">
      <c r="F3580" s="653" t="n"/>
    </row>
    <row r="3581">
      <c r="F3581" s="653" t="n"/>
    </row>
    <row r="3582">
      <c r="F3582" s="653" t="n"/>
    </row>
    <row r="3583">
      <c r="F3583" s="653" t="n"/>
    </row>
    <row r="3584">
      <c r="F3584" s="653" t="n"/>
    </row>
    <row r="3585">
      <c r="F3585" s="653" t="n"/>
    </row>
    <row r="3586">
      <c r="F3586" s="653" t="n"/>
    </row>
    <row r="3587">
      <c r="F3587" s="653" t="n"/>
    </row>
    <row r="3588">
      <c r="F3588" s="653" t="n"/>
    </row>
    <row r="3589">
      <c r="F3589" s="653" t="n"/>
    </row>
    <row r="3590">
      <c r="F3590" s="653" t="n"/>
    </row>
    <row r="3591">
      <c r="F3591" s="653" t="n"/>
    </row>
    <row r="3592">
      <c r="F3592" s="653" t="n"/>
    </row>
    <row r="3593">
      <c r="F3593" s="653" t="n"/>
    </row>
    <row r="3594">
      <c r="F3594" s="653" t="n"/>
    </row>
    <row r="3595">
      <c r="F3595" s="653" t="n"/>
    </row>
    <row r="3596">
      <c r="F3596" s="653" t="n"/>
    </row>
    <row r="3597">
      <c r="F3597" s="653" t="n"/>
    </row>
    <row r="3598">
      <c r="F3598" s="653" t="n"/>
    </row>
    <row r="3599">
      <c r="F3599" s="653" t="n"/>
    </row>
    <row r="3600">
      <c r="F3600" s="653" t="n"/>
    </row>
    <row r="3601">
      <c r="F3601" s="653" t="n"/>
    </row>
    <row r="3602">
      <c r="F3602" s="653" t="n"/>
    </row>
    <row r="3603">
      <c r="F3603" s="653" t="n"/>
    </row>
    <row r="3604">
      <c r="F3604" s="653" t="n"/>
    </row>
    <row r="3605">
      <c r="F3605" s="653" t="n"/>
    </row>
    <row r="3606">
      <c r="F3606" s="653" t="n"/>
    </row>
    <row r="3607">
      <c r="F3607" s="653" t="n"/>
    </row>
    <row r="3608">
      <c r="F3608" s="653" t="n"/>
    </row>
    <row r="3609">
      <c r="F3609" s="653" t="n"/>
    </row>
    <row r="3610">
      <c r="F3610" s="653" t="n"/>
    </row>
    <row r="3611">
      <c r="F3611" s="653" t="n"/>
    </row>
    <row r="3612">
      <c r="F3612" s="653" t="n"/>
    </row>
    <row r="3613">
      <c r="F3613" s="653" t="n"/>
    </row>
    <row r="3614">
      <c r="F3614" s="653" t="n"/>
    </row>
    <row r="3615">
      <c r="F3615" s="653" t="n"/>
    </row>
    <row r="3616">
      <c r="F3616" s="653" t="n"/>
    </row>
    <row r="3617">
      <c r="F3617" s="653" t="n"/>
    </row>
    <row r="3618">
      <c r="F3618" s="653" t="n"/>
    </row>
    <row r="3619">
      <c r="F3619" s="653" t="n"/>
    </row>
    <row r="3620">
      <c r="F3620" s="653" t="n"/>
    </row>
    <row r="3621">
      <c r="F3621" s="653" t="n"/>
    </row>
    <row r="3622">
      <c r="F3622" s="653" t="n"/>
    </row>
    <row r="3623">
      <c r="F3623" s="653" t="n"/>
    </row>
    <row r="3624">
      <c r="F3624" s="653" t="n"/>
    </row>
    <row r="3625">
      <c r="F3625" s="653" t="n"/>
    </row>
    <row r="3626">
      <c r="F3626" s="653" t="n"/>
    </row>
    <row r="3627">
      <c r="F3627" s="653" t="n"/>
    </row>
    <row r="3628">
      <c r="F3628" s="653" t="n"/>
    </row>
    <row r="3629">
      <c r="F3629" s="653" t="n"/>
    </row>
    <row r="3630">
      <c r="F3630" s="653" t="n"/>
    </row>
    <row r="3631">
      <c r="F3631" s="653" t="n"/>
    </row>
    <row r="3632">
      <c r="F3632" s="653" t="n"/>
    </row>
    <row r="3633">
      <c r="F3633" s="653" t="n"/>
    </row>
    <row r="3634">
      <c r="F3634" s="653" t="n"/>
    </row>
    <row r="3635">
      <c r="F3635" s="653" t="n"/>
    </row>
    <row r="3636">
      <c r="F3636" s="653" t="n"/>
    </row>
    <row r="3637">
      <c r="F3637" s="653" t="n"/>
    </row>
    <row r="3638">
      <c r="F3638" s="653" t="n"/>
    </row>
    <row r="3639">
      <c r="F3639" s="653" t="n"/>
    </row>
    <row r="3640">
      <c r="F3640" s="653" t="n"/>
    </row>
    <row r="3641">
      <c r="F3641" s="653" t="n"/>
    </row>
    <row r="3642">
      <c r="F3642" s="653" t="n"/>
    </row>
    <row r="3643">
      <c r="F3643" s="653" t="n"/>
    </row>
    <row r="3644">
      <c r="F3644" s="653" t="n"/>
    </row>
    <row r="3645">
      <c r="F3645" s="653" t="n"/>
    </row>
    <row r="3646">
      <c r="F3646" s="653" t="n"/>
    </row>
    <row r="3647">
      <c r="F3647" s="653" t="n"/>
    </row>
    <row r="3648">
      <c r="F3648" s="653" t="n"/>
    </row>
    <row r="3649">
      <c r="F3649" s="653" t="n"/>
    </row>
    <row r="3650">
      <c r="F3650" s="653" t="n"/>
    </row>
    <row r="3651">
      <c r="F3651" s="653" t="n"/>
    </row>
    <row r="3652">
      <c r="F3652" s="653" t="n"/>
    </row>
    <row r="3653">
      <c r="F3653" s="653" t="n"/>
    </row>
    <row r="3654">
      <c r="F3654" s="653" t="n"/>
    </row>
    <row r="3655">
      <c r="F3655" s="653" t="n"/>
    </row>
    <row r="3656">
      <c r="F3656" s="653" t="n"/>
    </row>
    <row r="3657">
      <c r="F3657" s="653" t="n"/>
    </row>
    <row r="3658">
      <c r="F3658" s="653" t="n"/>
    </row>
    <row r="3659">
      <c r="F3659" s="653" t="n"/>
    </row>
    <row r="3660">
      <c r="F3660" s="653" t="n"/>
    </row>
    <row r="3661">
      <c r="F3661" s="653" t="n"/>
    </row>
    <row r="3662">
      <c r="F3662" s="653" t="n"/>
    </row>
    <row r="3663">
      <c r="F3663" s="653" t="n"/>
    </row>
    <row r="3664">
      <c r="F3664" s="653" t="n"/>
    </row>
    <row r="3665">
      <c r="F3665" s="653" t="n"/>
    </row>
    <row r="3666">
      <c r="F3666" s="653" t="n"/>
    </row>
    <row r="3667">
      <c r="F3667" s="653" t="n"/>
    </row>
    <row r="3668">
      <c r="F3668" s="653" t="n"/>
    </row>
    <row r="3669">
      <c r="F3669" s="653" t="n"/>
    </row>
    <row r="3670">
      <c r="F3670" s="653" t="n"/>
    </row>
    <row r="3671">
      <c r="F3671" s="653" t="n"/>
    </row>
    <row r="3672">
      <c r="F3672" s="653" t="n"/>
    </row>
    <row r="3673">
      <c r="F3673" s="653" t="n"/>
    </row>
    <row r="3674">
      <c r="F3674" s="653" t="n"/>
    </row>
    <row r="3675">
      <c r="F3675" s="653" t="n"/>
    </row>
    <row r="3676">
      <c r="F3676" s="653" t="n"/>
    </row>
    <row r="3677">
      <c r="F3677" s="653" t="n"/>
    </row>
    <row r="3678">
      <c r="F3678" s="653" t="n"/>
    </row>
    <row r="3679">
      <c r="F3679" s="653" t="n"/>
    </row>
    <row r="3680">
      <c r="F3680" s="653" t="n"/>
    </row>
    <row r="3681">
      <c r="F3681" s="653" t="n"/>
    </row>
    <row r="3682">
      <c r="F3682" s="653" t="n"/>
    </row>
    <row r="3683">
      <c r="F3683" s="653" t="n"/>
    </row>
    <row r="3684">
      <c r="F3684" s="653" t="n"/>
    </row>
    <row r="3685">
      <c r="F3685" s="653" t="n"/>
    </row>
    <row r="3686">
      <c r="F3686" s="653" t="n"/>
    </row>
    <row r="3687">
      <c r="F3687" s="653" t="n"/>
    </row>
    <row r="3688">
      <c r="F3688" s="653" t="n"/>
    </row>
    <row r="3689">
      <c r="F3689" s="653" t="n"/>
    </row>
    <row r="3690">
      <c r="F3690" s="653" t="n"/>
    </row>
    <row r="3691">
      <c r="F3691" s="653" t="n"/>
    </row>
    <row r="3692">
      <c r="F3692" s="653" t="n"/>
    </row>
    <row r="3693">
      <c r="F3693" s="653" t="n"/>
    </row>
    <row r="3694">
      <c r="F3694" s="653" t="n"/>
    </row>
    <row r="3695">
      <c r="F3695" s="653" t="n"/>
    </row>
    <row r="3696">
      <c r="F3696" s="653" t="n"/>
    </row>
    <row r="3697">
      <c r="F3697" s="653" t="n"/>
    </row>
    <row r="3698">
      <c r="F3698" s="653" t="n"/>
    </row>
    <row r="3699">
      <c r="F3699" s="653" t="n"/>
    </row>
    <row r="3700">
      <c r="F3700" s="653" t="n"/>
    </row>
    <row r="3701">
      <c r="F3701" s="653" t="n"/>
    </row>
    <row r="3702">
      <c r="F3702" s="653" t="n"/>
    </row>
    <row r="3703">
      <c r="F3703" s="653" t="n"/>
    </row>
    <row r="3704">
      <c r="F3704" s="653" t="n"/>
    </row>
    <row r="3705">
      <c r="F3705" s="653" t="n"/>
    </row>
    <row r="3706">
      <c r="F3706" s="653" t="n"/>
    </row>
    <row r="3707">
      <c r="F3707" s="653" t="n"/>
    </row>
    <row r="3708">
      <c r="F3708" s="653" t="n"/>
    </row>
    <row r="3709">
      <c r="F3709" s="653" t="n"/>
    </row>
    <row r="3710">
      <c r="F3710" s="653" t="n"/>
    </row>
    <row r="3711">
      <c r="F3711" s="653" t="n"/>
    </row>
    <row r="3712">
      <c r="F3712" s="653" t="n"/>
    </row>
    <row r="3713">
      <c r="F3713" s="653" t="n"/>
    </row>
    <row r="3714">
      <c r="F3714" s="653" t="n"/>
    </row>
    <row r="3715">
      <c r="F3715" s="653" t="n"/>
    </row>
    <row r="3716">
      <c r="F3716" s="653" t="n"/>
    </row>
    <row r="3717">
      <c r="F3717" s="653" t="n"/>
    </row>
    <row r="3718">
      <c r="F3718" s="653" t="n"/>
    </row>
    <row r="3719">
      <c r="F3719" s="653" t="n"/>
    </row>
    <row r="3720">
      <c r="F3720" s="653" t="n"/>
    </row>
    <row r="3721">
      <c r="F3721" s="653" t="n"/>
    </row>
    <row r="3722">
      <c r="F3722" s="653" t="n"/>
    </row>
    <row r="3723">
      <c r="F3723" s="653" t="n"/>
    </row>
    <row r="3724">
      <c r="F3724" s="653" t="n"/>
    </row>
    <row r="3725">
      <c r="F3725" s="653" t="n"/>
    </row>
    <row r="3726">
      <c r="F3726" s="653" t="n"/>
    </row>
    <row r="3727">
      <c r="F3727" s="653" t="n"/>
    </row>
    <row r="3728">
      <c r="F3728" s="653" t="n"/>
    </row>
    <row r="3729">
      <c r="F3729" s="653" t="n"/>
    </row>
    <row r="3730">
      <c r="F3730" s="653" t="n"/>
    </row>
    <row r="3731">
      <c r="F3731" s="653" t="n"/>
    </row>
    <row r="3732">
      <c r="F3732" s="653" t="n"/>
    </row>
    <row r="3733">
      <c r="F3733" s="653" t="n"/>
    </row>
    <row r="3734">
      <c r="F3734" s="653" t="n"/>
    </row>
    <row r="3735">
      <c r="F3735" s="653" t="n"/>
    </row>
    <row r="3736">
      <c r="F3736" s="653" t="n"/>
    </row>
    <row r="3737">
      <c r="F3737" s="653" t="n"/>
    </row>
    <row r="3738">
      <c r="F3738" s="653" t="n"/>
    </row>
    <row r="3739">
      <c r="F3739" s="653" t="n"/>
    </row>
    <row r="3740">
      <c r="F3740" s="653" t="n"/>
    </row>
    <row r="3741">
      <c r="F3741" s="653" t="n"/>
    </row>
    <row r="3742">
      <c r="F3742" s="653" t="n"/>
    </row>
    <row r="3743">
      <c r="F3743" s="653" t="n"/>
    </row>
    <row r="3744">
      <c r="F3744" s="653" t="n"/>
    </row>
    <row r="3745">
      <c r="F3745" s="653" t="n"/>
    </row>
    <row r="3746">
      <c r="F3746" s="653" t="n"/>
    </row>
    <row r="3747">
      <c r="F3747" s="653" t="n"/>
    </row>
    <row r="3748">
      <c r="F3748" s="653" t="n"/>
    </row>
    <row r="3749">
      <c r="F3749" s="653" t="n"/>
    </row>
    <row r="3750">
      <c r="F3750" s="653" t="n"/>
    </row>
    <row r="3751">
      <c r="F3751" s="653" t="n"/>
    </row>
    <row r="3752">
      <c r="F3752" s="653" t="n"/>
    </row>
    <row r="3753">
      <c r="F3753" s="653" t="n"/>
    </row>
    <row r="3754">
      <c r="F3754" s="653" t="n"/>
    </row>
    <row r="3755">
      <c r="F3755" s="653" t="n"/>
    </row>
    <row r="3756">
      <c r="F3756" s="653" t="n"/>
    </row>
    <row r="3757">
      <c r="F3757" s="653" t="n"/>
    </row>
    <row r="3758">
      <c r="F3758" s="653" t="n"/>
    </row>
    <row r="3759">
      <c r="F3759" s="653" t="n"/>
    </row>
    <row r="3760">
      <c r="F3760" s="653" t="n"/>
    </row>
    <row r="3761">
      <c r="F3761" s="653" t="n"/>
    </row>
    <row r="3762">
      <c r="F3762" s="653" t="n"/>
    </row>
    <row r="3763">
      <c r="F3763" s="653" t="n"/>
    </row>
    <row r="3764">
      <c r="F3764" s="653" t="n"/>
    </row>
    <row r="3765">
      <c r="F3765" s="653" t="n"/>
    </row>
    <row r="3766">
      <c r="F3766" s="653" t="n"/>
    </row>
    <row r="3767">
      <c r="F3767" s="653" t="n"/>
    </row>
    <row r="3768">
      <c r="F3768" s="653" t="n"/>
    </row>
    <row r="3769">
      <c r="F3769" s="653" t="n"/>
    </row>
    <row r="3770">
      <c r="F3770" s="653" t="n"/>
    </row>
    <row r="3771">
      <c r="F3771" s="653" t="n"/>
    </row>
    <row r="3772">
      <c r="F3772" s="653" t="n"/>
    </row>
    <row r="3773">
      <c r="F3773" s="653" t="n"/>
    </row>
    <row r="3774">
      <c r="F3774" s="653" t="n"/>
    </row>
    <row r="3775">
      <c r="F3775" s="653" t="n"/>
    </row>
    <row r="3776">
      <c r="F3776" s="653" t="n"/>
    </row>
    <row r="3777">
      <c r="F3777" s="653" t="n"/>
    </row>
    <row r="3778">
      <c r="F3778" s="653" t="n"/>
    </row>
    <row r="3779">
      <c r="F3779" s="653" t="n"/>
    </row>
    <row r="3780">
      <c r="F3780" s="653" t="n"/>
    </row>
    <row r="3781">
      <c r="F3781" s="653" t="n"/>
    </row>
    <row r="3782">
      <c r="F3782" s="653" t="n"/>
    </row>
    <row r="3783">
      <c r="F3783" s="653" t="n"/>
    </row>
    <row r="3784">
      <c r="F3784" s="653" t="n"/>
    </row>
    <row r="3785">
      <c r="F3785" s="653" t="n"/>
    </row>
    <row r="3786">
      <c r="F3786" s="653" t="n"/>
    </row>
    <row r="3787">
      <c r="F3787" s="653" t="n"/>
    </row>
    <row r="3788">
      <c r="F3788" s="653" t="n"/>
    </row>
    <row r="3789">
      <c r="F3789" s="653" t="n"/>
    </row>
    <row r="3790">
      <c r="F3790" s="653" t="n"/>
    </row>
    <row r="3791">
      <c r="F3791" s="653" t="n"/>
    </row>
    <row r="3792">
      <c r="F3792" s="653" t="n"/>
    </row>
    <row r="3793">
      <c r="F3793" s="653" t="n"/>
    </row>
    <row r="3794">
      <c r="F3794" s="653" t="n"/>
    </row>
    <row r="3795">
      <c r="F3795" s="653" t="n"/>
    </row>
    <row r="3796">
      <c r="F3796" s="653" t="n"/>
    </row>
    <row r="3797">
      <c r="F3797" s="653" t="n"/>
    </row>
    <row r="3798">
      <c r="F3798" s="653" t="n"/>
    </row>
    <row r="3799">
      <c r="F3799" s="653" t="n"/>
    </row>
    <row r="3800">
      <c r="F3800" s="653" t="n"/>
    </row>
    <row r="3801">
      <c r="F3801" s="653" t="n"/>
    </row>
    <row r="3802">
      <c r="F3802" s="653" t="n"/>
    </row>
    <row r="3803">
      <c r="F3803" s="653" t="n"/>
    </row>
    <row r="3804">
      <c r="F3804" s="653" t="n"/>
    </row>
    <row r="3805">
      <c r="F3805" s="653" t="n"/>
    </row>
    <row r="3806">
      <c r="F3806" s="653" t="n"/>
    </row>
    <row r="3807">
      <c r="F3807" s="653" t="n"/>
    </row>
    <row r="3808">
      <c r="F3808" s="653" t="n"/>
    </row>
    <row r="3809">
      <c r="F3809" s="653" t="n"/>
    </row>
    <row r="3810">
      <c r="F3810" s="653" t="n"/>
    </row>
    <row r="3811">
      <c r="F3811" s="653" t="n"/>
    </row>
    <row r="3812">
      <c r="F3812" s="653" t="n"/>
    </row>
    <row r="3813">
      <c r="F3813" s="653" t="n"/>
    </row>
    <row r="3814">
      <c r="F3814" s="653" t="n"/>
    </row>
    <row r="3815">
      <c r="F3815" s="653" t="n"/>
    </row>
    <row r="3816">
      <c r="F3816" s="653" t="n"/>
    </row>
    <row r="3817">
      <c r="F3817" s="653" t="n"/>
    </row>
    <row r="3818">
      <c r="F3818" s="653" t="n"/>
    </row>
    <row r="3819">
      <c r="F3819" s="653" t="n"/>
    </row>
    <row r="3820">
      <c r="F3820" s="653" t="n"/>
    </row>
    <row r="3821">
      <c r="F3821" s="653" t="n"/>
    </row>
    <row r="3822">
      <c r="F3822" s="653" t="n"/>
    </row>
    <row r="3823">
      <c r="F3823" s="653" t="n"/>
    </row>
    <row r="3824">
      <c r="F3824" s="653" t="n"/>
    </row>
    <row r="3825">
      <c r="F3825" s="653" t="n"/>
    </row>
    <row r="3826">
      <c r="F3826" s="653" t="n"/>
    </row>
    <row r="3827">
      <c r="F3827" s="653" t="n"/>
    </row>
    <row r="3828">
      <c r="F3828" s="653" t="n"/>
    </row>
    <row r="3829">
      <c r="F3829" s="653" t="n"/>
    </row>
    <row r="3830">
      <c r="F3830" s="653" t="n"/>
    </row>
    <row r="3831">
      <c r="F3831" s="653" t="n"/>
    </row>
    <row r="3832">
      <c r="F3832" s="653" t="n"/>
    </row>
    <row r="3833">
      <c r="F3833" s="653" t="n"/>
    </row>
    <row r="3834">
      <c r="F3834" s="653" t="n"/>
    </row>
    <row r="3835">
      <c r="F3835" s="653" t="n"/>
    </row>
    <row r="3836">
      <c r="F3836" s="653" t="n"/>
    </row>
    <row r="3837">
      <c r="F3837" s="653" t="n"/>
    </row>
    <row r="3838">
      <c r="F3838" s="653" t="n"/>
    </row>
    <row r="3839">
      <c r="F3839" s="653" t="n"/>
    </row>
    <row r="3840">
      <c r="F3840" s="653" t="n"/>
    </row>
    <row r="3841">
      <c r="F3841" s="653" t="n"/>
    </row>
    <row r="3842">
      <c r="F3842" s="653" t="n"/>
    </row>
    <row r="3843">
      <c r="F3843" s="653" t="n"/>
    </row>
    <row r="3844">
      <c r="F3844" s="653" t="n"/>
    </row>
    <row r="3845">
      <c r="F3845" s="653" t="n"/>
    </row>
    <row r="3846">
      <c r="F3846" s="653" t="n"/>
    </row>
    <row r="3847">
      <c r="F3847" s="653" t="n"/>
    </row>
    <row r="3848">
      <c r="F3848" s="653" t="n"/>
    </row>
    <row r="3849">
      <c r="F3849" s="653" t="n"/>
    </row>
    <row r="3850">
      <c r="F3850" s="653" t="n"/>
    </row>
    <row r="3851">
      <c r="F3851" s="653" t="n"/>
    </row>
    <row r="3852">
      <c r="F3852" s="653" t="n"/>
    </row>
    <row r="3853">
      <c r="F3853" s="653" t="n"/>
    </row>
    <row r="3854">
      <c r="F3854" s="653" t="n"/>
    </row>
    <row r="3855">
      <c r="F3855" s="653" t="n"/>
    </row>
    <row r="3856">
      <c r="F3856" s="653" t="n"/>
    </row>
    <row r="3857">
      <c r="F3857" s="653" t="n"/>
    </row>
    <row r="3858">
      <c r="F3858" s="653" t="n"/>
    </row>
    <row r="3859">
      <c r="F3859" s="653" t="n"/>
    </row>
    <row r="3860">
      <c r="F3860" s="653" t="n"/>
    </row>
    <row r="3861">
      <c r="F3861" s="653" t="n"/>
    </row>
    <row r="3862">
      <c r="F3862" s="653" t="n"/>
    </row>
    <row r="3863">
      <c r="F3863" s="653" t="n"/>
    </row>
    <row r="3864">
      <c r="F3864" s="653" t="n"/>
    </row>
    <row r="3865">
      <c r="F3865" s="653" t="n"/>
    </row>
    <row r="3866">
      <c r="F3866" s="653" t="n"/>
    </row>
    <row r="3867">
      <c r="F3867" s="653" t="n"/>
    </row>
    <row r="3868">
      <c r="F3868" s="653" t="n"/>
    </row>
    <row r="3869">
      <c r="F3869" s="653" t="n"/>
    </row>
    <row r="3870">
      <c r="F3870" s="653" t="n"/>
    </row>
    <row r="3871">
      <c r="F3871" s="653" t="n"/>
    </row>
    <row r="3872">
      <c r="F3872" s="653" t="n"/>
    </row>
    <row r="3873">
      <c r="F3873" s="653" t="n"/>
    </row>
    <row r="3874">
      <c r="F3874" s="653" t="n"/>
    </row>
    <row r="3875">
      <c r="F3875" s="653" t="n"/>
    </row>
    <row r="3876">
      <c r="F3876" s="653" t="n"/>
    </row>
    <row r="3877">
      <c r="F3877" s="653" t="n"/>
    </row>
    <row r="3878">
      <c r="F3878" s="653" t="n"/>
    </row>
    <row r="3879">
      <c r="F3879" s="653" t="n"/>
    </row>
    <row r="3880">
      <c r="F3880" s="653" t="n"/>
    </row>
    <row r="3881">
      <c r="F3881" s="653" t="n"/>
    </row>
    <row r="3882">
      <c r="F3882" s="653" t="n"/>
    </row>
    <row r="3883">
      <c r="F3883" s="653" t="n"/>
    </row>
    <row r="3884">
      <c r="F3884" s="653" t="n"/>
    </row>
    <row r="3885">
      <c r="F3885" s="653" t="n"/>
    </row>
    <row r="3886">
      <c r="F3886" s="653" t="n"/>
    </row>
    <row r="3887">
      <c r="F3887" s="653" t="n"/>
    </row>
    <row r="3888">
      <c r="F3888" s="653" t="n"/>
    </row>
    <row r="3889">
      <c r="F3889" s="653" t="n"/>
    </row>
    <row r="3890">
      <c r="F3890" s="653" t="n"/>
    </row>
    <row r="3891">
      <c r="F3891" s="653" t="n"/>
    </row>
    <row r="3892">
      <c r="F3892" s="653" t="n"/>
    </row>
    <row r="3893">
      <c r="F3893" s="653" t="n"/>
    </row>
    <row r="3894">
      <c r="F3894" s="653" t="n"/>
    </row>
    <row r="3895">
      <c r="F3895" s="653" t="n"/>
    </row>
    <row r="3896">
      <c r="F3896" s="653" t="n"/>
    </row>
    <row r="3897">
      <c r="F3897" s="653" t="n"/>
    </row>
    <row r="3898">
      <c r="F3898" s="653" t="n"/>
    </row>
    <row r="3899">
      <c r="F3899" s="653" t="n"/>
    </row>
    <row r="3900">
      <c r="F3900" s="653" t="n"/>
    </row>
    <row r="3901">
      <c r="F3901" s="653" t="n"/>
    </row>
    <row r="3902">
      <c r="F3902" s="653" t="n"/>
    </row>
    <row r="3903">
      <c r="F3903" s="653" t="n"/>
    </row>
    <row r="3904">
      <c r="F3904" s="653" t="n"/>
    </row>
    <row r="3905">
      <c r="F3905" s="653" t="n"/>
    </row>
    <row r="3906">
      <c r="F3906" s="653" t="n"/>
    </row>
    <row r="3907">
      <c r="F3907" s="653" t="n"/>
    </row>
    <row r="3908">
      <c r="F3908" s="653" t="n"/>
    </row>
    <row r="3909">
      <c r="F3909" s="653" t="n"/>
    </row>
    <row r="3910">
      <c r="F3910" s="653" t="n"/>
    </row>
    <row r="3911">
      <c r="F3911" s="653" t="n"/>
    </row>
    <row r="3912">
      <c r="F3912" s="653" t="n"/>
    </row>
    <row r="3913">
      <c r="F3913" s="653" t="n"/>
    </row>
    <row r="3914">
      <c r="F3914" s="653" t="n"/>
    </row>
    <row r="3915">
      <c r="F3915" s="653" t="n"/>
    </row>
    <row r="3916">
      <c r="F3916" s="653" t="n"/>
    </row>
    <row r="3917">
      <c r="F3917" s="653" t="n"/>
    </row>
    <row r="3918">
      <c r="F3918" s="653" t="n"/>
    </row>
    <row r="3919">
      <c r="F3919" s="653" t="n"/>
    </row>
    <row r="3920">
      <c r="F3920" s="653" t="n"/>
    </row>
    <row r="3921">
      <c r="F3921" s="653" t="n"/>
    </row>
    <row r="3922">
      <c r="F3922" s="653" t="n"/>
    </row>
    <row r="3923">
      <c r="F3923" s="653" t="n"/>
    </row>
    <row r="3924">
      <c r="F3924" s="653" t="n"/>
    </row>
    <row r="3925">
      <c r="F3925" s="653" t="n"/>
    </row>
    <row r="3926">
      <c r="F3926" s="653" t="n"/>
    </row>
    <row r="3927">
      <c r="F3927" s="653" t="n"/>
    </row>
    <row r="3928">
      <c r="F3928" s="653" t="n"/>
    </row>
    <row r="3929">
      <c r="F3929" s="653" t="n"/>
    </row>
    <row r="3930">
      <c r="F3930" s="653" t="n"/>
    </row>
    <row r="3931">
      <c r="F3931" s="653" t="n"/>
    </row>
    <row r="3932">
      <c r="F3932" s="653" t="n"/>
    </row>
    <row r="3933">
      <c r="F3933" s="653" t="n"/>
    </row>
    <row r="3934">
      <c r="F3934" s="653" t="n"/>
    </row>
    <row r="3935">
      <c r="F3935" s="653" t="n"/>
    </row>
    <row r="3936">
      <c r="F3936" s="653" t="n"/>
    </row>
    <row r="3937">
      <c r="F3937" s="653" t="n"/>
    </row>
    <row r="3938">
      <c r="F3938" s="653" t="n"/>
    </row>
    <row r="3939">
      <c r="F3939" s="653" t="n"/>
    </row>
    <row r="3940">
      <c r="F3940" s="653" t="n"/>
    </row>
    <row r="3941">
      <c r="F3941" s="653" t="n"/>
    </row>
    <row r="3942">
      <c r="F3942" s="653" t="n"/>
    </row>
    <row r="3943">
      <c r="F3943" s="653" t="n"/>
    </row>
    <row r="3944">
      <c r="F3944" s="653" t="n"/>
    </row>
    <row r="3945">
      <c r="F3945" s="653" t="n"/>
    </row>
    <row r="3946">
      <c r="F3946" s="653" t="n"/>
    </row>
    <row r="3947">
      <c r="F3947" s="653" t="n"/>
    </row>
    <row r="3948">
      <c r="F3948" s="653" t="n"/>
    </row>
    <row r="3949">
      <c r="F3949" s="653" t="n"/>
    </row>
    <row r="3950">
      <c r="F3950" s="653" t="n"/>
    </row>
    <row r="3951">
      <c r="F3951" s="653" t="n"/>
    </row>
    <row r="3952">
      <c r="F3952" s="653" t="n"/>
    </row>
    <row r="3953">
      <c r="F3953" s="653" t="n"/>
    </row>
    <row r="3954">
      <c r="F3954" s="653" t="n"/>
    </row>
    <row r="3955">
      <c r="F3955" s="653" t="n"/>
    </row>
    <row r="3956">
      <c r="F3956" s="653" t="n"/>
    </row>
    <row r="3957">
      <c r="F3957" s="653" t="n"/>
    </row>
    <row r="3958">
      <c r="F3958" s="653" t="n"/>
    </row>
    <row r="3959">
      <c r="F3959" s="653" t="n"/>
    </row>
    <row r="3960">
      <c r="F3960" s="653" t="n"/>
    </row>
    <row r="3961">
      <c r="F3961" s="653" t="n"/>
    </row>
    <row r="3962">
      <c r="F3962" s="653" t="n"/>
    </row>
    <row r="3963">
      <c r="F3963" s="653" t="n"/>
    </row>
    <row r="3964">
      <c r="F3964" s="653" t="n"/>
    </row>
    <row r="3965">
      <c r="F3965" s="653" t="n"/>
    </row>
    <row r="3966">
      <c r="F3966" s="653" t="n"/>
    </row>
    <row r="3967">
      <c r="F3967" s="653" t="n"/>
    </row>
    <row r="3968">
      <c r="F3968" s="653" t="n"/>
    </row>
    <row r="3969">
      <c r="F3969" s="653" t="n"/>
    </row>
    <row r="3970">
      <c r="F3970" s="653" t="n"/>
    </row>
    <row r="3971">
      <c r="F3971" s="653" t="n"/>
    </row>
    <row r="3972">
      <c r="F3972" s="653" t="n"/>
    </row>
    <row r="3973">
      <c r="F3973" s="653" t="n"/>
    </row>
    <row r="3974">
      <c r="F3974" s="653" t="n"/>
    </row>
    <row r="3975">
      <c r="F3975" s="653" t="n"/>
    </row>
    <row r="3976">
      <c r="F3976" s="653" t="n"/>
    </row>
    <row r="3977">
      <c r="F3977" s="653" t="n"/>
    </row>
    <row r="3978">
      <c r="F3978" s="653" t="n"/>
    </row>
    <row r="3979">
      <c r="F3979" s="653" t="n"/>
    </row>
    <row r="3980">
      <c r="F3980" s="653" t="n"/>
    </row>
    <row r="3981">
      <c r="F3981" s="653" t="n"/>
    </row>
    <row r="3982">
      <c r="F3982" s="653" t="n"/>
    </row>
    <row r="3983">
      <c r="F3983" s="653" t="n"/>
    </row>
    <row r="3984">
      <c r="F3984" s="653" t="n"/>
    </row>
    <row r="3985">
      <c r="F3985" s="653" t="n"/>
    </row>
    <row r="3986">
      <c r="F3986" s="653" t="n"/>
    </row>
    <row r="3987">
      <c r="F3987" s="653" t="n"/>
    </row>
    <row r="3988">
      <c r="F3988" s="653" t="n"/>
    </row>
    <row r="3989">
      <c r="F3989" s="653" t="n"/>
    </row>
    <row r="3990">
      <c r="F3990" s="653" t="n"/>
    </row>
    <row r="3991">
      <c r="F3991" s="653" t="n"/>
    </row>
    <row r="3992">
      <c r="F3992" s="653" t="n"/>
    </row>
    <row r="3993">
      <c r="F3993" s="653" t="n"/>
    </row>
    <row r="3994">
      <c r="F3994" s="653" t="n"/>
    </row>
    <row r="3995">
      <c r="F3995" s="653" t="n"/>
    </row>
    <row r="3996">
      <c r="F3996" s="653" t="n"/>
    </row>
    <row r="3997">
      <c r="F3997" s="653" t="n"/>
    </row>
    <row r="3998">
      <c r="F3998" s="653" t="n"/>
    </row>
    <row r="3999">
      <c r="F3999" s="653" t="n"/>
    </row>
    <row r="4000">
      <c r="F4000" s="653" t="n"/>
    </row>
    <row r="4001">
      <c r="F4001" s="653" t="n"/>
    </row>
    <row r="4002">
      <c r="F4002" s="653" t="n"/>
    </row>
    <row r="4003">
      <c r="F4003" s="653" t="n"/>
    </row>
    <row r="4004">
      <c r="F4004" s="653" t="n"/>
    </row>
    <row r="4005">
      <c r="F4005" s="653" t="n"/>
    </row>
    <row r="4006">
      <c r="F4006" s="653" t="n"/>
    </row>
    <row r="4007">
      <c r="F4007" s="653" t="n"/>
    </row>
    <row r="4008">
      <c r="F4008" s="653" t="n"/>
    </row>
    <row r="4009">
      <c r="F4009" s="653" t="n"/>
    </row>
    <row r="4010">
      <c r="F4010" s="653" t="n"/>
    </row>
    <row r="4011">
      <c r="F4011" s="653" t="n"/>
    </row>
    <row r="4012">
      <c r="F4012" s="653" t="n"/>
    </row>
    <row r="4013">
      <c r="F4013" s="653" t="n"/>
    </row>
    <row r="4014">
      <c r="F4014" s="653" t="n"/>
    </row>
    <row r="4015">
      <c r="F4015" s="653" t="n"/>
    </row>
    <row r="4016">
      <c r="F4016" s="653" t="n"/>
    </row>
    <row r="4017">
      <c r="F4017" s="653" t="n"/>
    </row>
    <row r="4018">
      <c r="F4018" s="653" t="n"/>
    </row>
    <row r="4019">
      <c r="F4019" s="653" t="n"/>
    </row>
    <row r="4020">
      <c r="F4020" s="653" t="n"/>
    </row>
    <row r="4021">
      <c r="F4021" s="653" t="n"/>
    </row>
    <row r="4022">
      <c r="F4022" s="653" t="n"/>
    </row>
    <row r="4023">
      <c r="F4023" s="653" t="n"/>
    </row>
    <row r="4024">
      <c r="F4024" s="653" t="n"/>
    </row>
    <row r="4025">
      <c r="F4025" s="653" t="n"/>
    </row>
    <row r="4026">
      <c r="F4026" s="653" t="n"/>
    </row>
    <row r="4027">
      <c r="F4027" s="653" t="n"/>
    </row>
    <row r="4028">
      <c r="F4028" s="653" t="n"/>
    </row>
    <row r="4029">
      <c r="F4029" s="653" t="n"/>
    </row>
    <row r="4030">
      <c r="F4030" s="653" t="n"/>
    </row>
    <row r="4031">
      <c r="F4031" s="653" t="n"/>
    </row>
    <row r="4032">
      <c r="F4032" s="653" t="n"/>
    </row>
    <row r="4033">
      <c r="F4033" s="653" t="n"/>
    </row>
    <row r="4034">
      <c r="F4034" s="653" t="n"/>
    </row>
    <row r="4035">
      <c r="F4035" s="653" t="n"/>
    </row>
    <row r="4036">
      <c r="F4036" s="653" t="n"/>
    </row>
    <row r="4037">
      <c r="F4037" s="653" t="n"/>
    </row>
    <row r="4038">
      <c r="F4038" s="653" t="n"/>
    </row>
    <row r="4039">
      <c r="F4039" s="653" t="n"/>
    </row>
    <row r="4040">
      <c r="F4040" s="653" t="n"/>
    </row>
    <row r="4041">
      <c r="F4041" s="653" t="n"/>
    </row>
    <row r="4042">
      <c r="F4042" s="653" t="n"/>
    </row>
    <row r="4043">
      <c r="F4043" s="653" t="n"/>
    </row>
    <row r="4044">
      <c r="F4044" s="653" t="n"/>
    </row>
    <row r="4045">
      <c r="F4045" s="653" t="n"/>
    </row>
    <row r="4046">
      <c r="F4046" s="653" t="n"/>
    </row>
    <row r="4047">
      <c r="F4047" s="653" t="n"/>
    </row>
    <row r="4048">
      <c r="F4048" s="653" t="n"/>
    </row>
    <row r="4049">
      <c r="F4049" s="653" t="n"/>
    </row>
    <row r="4050">
      <c r="F4050" s="653" t="n"/>
    </row>
    <row r="4051">
      <c r="F4051" s="653" t="n"/>
    </row>
    <row r="4052">
      <c r="F4052" s="653" t="n"/>
    </row>
    <row r="4053">
      <c r="F4053" s="653" t="n"/>
    </row>
    <row r="4054">
      <c r="F4054" s="653" t="n"/>
    </row>
    <row r="4055">
      <c r="F4055" s="653" t="n"/>
    </row>
    <row r="4056">
      <c r="F4056" s="653" t="n"/>
    </row>
    <row r="4057">
      <c r="F4057" s="653" t="n"/>
    </row>
    <row r="4058">
      <c r="F4058" s="653" t="n"/>
    </row>
    <row r="4059">
      <c r="F4059" s="653" t="n"/>
    </row>
    <row r="4060">
      <c r="F4060" s="653" t="n"/>
    </row>
    <row r="4061">
      <c r="F4061" s="653" t="n"/>
    </row>
    <row r="4062">
      <c r="F4062" s="653" t="n"/>
    </row>
    <row r="4063">
      <c r="F4063" s="653" t="n"/>
    </row>
    <row r="4064">
      <c r="F4064" s="653" t="n"/>
    </row>
    <row r="4065">
      <c r="F4065" s="653" t="n"/>
    </row>
    <row r="4066">
      <c r="F4066" s="653" t="n"/>
    </row>
    <row r="4067">
      <c r="F4067" s="653" t="n"/>
    </row>
    <row r="4068">
      <c r="F4068" s="653" t="n"/>
    </row>
    <row r="4069">
      <c r="F4069" s="653" t="n"/>
    </row>
    <row r="4070">
      <c r="F4070" s="653" t="n"/>
    </row>
    <row r="4071">
      <c r="F4071" s="653" t="n"/>
    </row>
    <row r="4072">
      <c r="F4072" s="653" t="n"/>
    </row>
    <row r="4073">
      <c r="F4073" s="653" t="n"/>
    </row>
    <row r="4074">
      <c r="F4074" s="653" t="n"/>
    </row>
    <row r="4075">
      <c r="F4075" s="653" t="n"/>
    </row>
    <row r="4076">
      <c r="F4076" s="653" t="n"/>
    </row>
    <row r="4077">
      <c r="F4077" s="653" t="n"/>
    </row>
    <row r="4078">
      <c r="F4078" s="653" t="n"/>
    </row>
    <row r="4079">
      <c r="F4079" s="653" t="n"/>
    </row>
    <row r="4080">
      <c r="F4080" s="653" t="n"/>
    </row>
    <row r="4081">
      <c r="F4081" s="653" t="n"/>
    </row>
    <row r="4082">
      <c r="F4082" s="653" t="n"/>
    </row>
    <row r="4083">
      <c r="F4083" s="653" t="n"/>
    </row>
    <row r="4084">
      <c r="F4084" s="653" t="n"/>
    </row>
    <row r="4085">
      <c r="F4085" s="653" t="n"/>
    </row>
    <row r="4086">
      <c r="F4086" s="653" t="n"/>
    </row>
    <row r="4087">
      <c r="F4087" s="653" t="n"/>
    </row>
    <row r="4088">
      <c r="F4088" s="653" t="n"/>
    </row>
    <row r="4089">
      <c r="F4089" s="653" t="n"/>
    </row>
    <row r="4090">
      <c r="F4090" s="653" t="n"/>
    </row>
    <row r="4091">
      <c r="F4091" s="653" t="n"/>
    </row>
    <row r="4092">
      <c r="F4092" s="653" t="n"/>
    </row>
    <row r="4093">
      <c r="F4093" s="653" t="n"/>
    </row>
    <row r="4094">
      <c r="F4094" s="653" t="n"/>
    </row>
    <row r="4095">
      <c r="F4095" s="653" t="n"/>
    </row>
    <row r="4096">
      <c r="F4096" s="653" t="n"/>
    </row>
    <row r="4097">
      <c r="F4097" s="653" t="n"/>
    </row>
    <row r="4098">
      <c r="F4098" s="653" t="n"/>
    </row>
    <row r="4099">
      <c r="F4099" s="653" t="n"/>
    </row>
    <row r="4100">
      <c r="F4100" s="653" t="n"/>
    </row>
    <row r="4101">
      <c r="F4101" s="653" t="n"/>
    </row>
    <row r="4102">
      <c r="F4102" s="653" t="n"/>
    </row>
    <row r="4103">
      <c r="F4103" s="653" t="n"/>
    </row>
    <row r="4104">
      <c r="F4104" s="653" t="n"/>
    </row>
    <row r="4105">
      <c r="F4105" s="653" t="n"/>
    </row>
    <row r="4106">
      <c r="F4106" s="653" t="n"/>
    </row>
    <row r="4107">
      <c r="F4107" s="653" t="n"/>
    </row>
    <row r="4108">
      <c r="F4108" s="653" t="n"/>
    </row>
    <row r="4109">
      <c r="F4109" s="653" t="n"/>
    </row>
    <row r="4110">
      <c r="F4110" s="653" t="n"/>
    </row>
    <row r="4111">
      <c r="F4111" s="653" t="n"/>
    </row>
    <row r="4112">
      <c r="F4112" s="653" t="n"/>
    </row>
    <row r="4113">
      <c r="F4113" s="653" t="n"/>
    </row>
    <row r="4114">
      <c r="F4114" s="653" t="n"/>
    </row>
    <row r="4115">
      <c r="F4115" s="653" t="n"/>
    </row>
    <row r="4116">
      <c r="F4116" s="653" t="n"/>
    </row>
    <row r="4117">
      <c r="F4117" s="653" t="n"/>
    </row>
    <row r="4118">
      <c r="F4118" s="653" t="n"/>
    </row>
    <row r="4119">
      <c r="F4119" s="653" t="n"/>
    </row>
    <row r="4120">
      <c r="F4120" s="653" t="n"/>
    </row>
    <row r="4121">
      <c r="F4121" s="653" t="n"/>
    </row>
    <row r="4122">
      <c r="F4122" s="653" t="n"/>
    </row>
    <row r="4123">
      <c r="F4123" s="653" t="n"/>
    </row>
    <row r="4124">
      <c r="F4124" s="653" t="n"/>
    </row>
    <row r="4125">
      <c r="F4125" s="653" t="n"/>
    </row>
    <row r="4126">
      <c r="F4126" s="653" t="n"/>
    </row>
    <row r="4127">
      <c r="F4127" s="653" t="n"/>
    </row>
    <row r="4128">
      <c r="F4128" s="653" t="n"/>
    </row>
    <row r="4129">
      <c r="F4129" s="653" t="n"/>
    </row>
    <row r="4130">
      <c r="F4130" s="653" t="n"/>
    </row>
    <row r="4131">
      <c r="F4131" s="653" t="n"/>
    </row>
    <row r="4132">
      <c r="F4132" s="653" t="n"/>
    </row>
    <row r="4133">
      <c r="F4133" s="653" t="n"/>
    </row>
    <row r="4134">
      <c r="F4134" s="653" t="n"/>
    </row>
    <row r="4135">
      <c r="F4135" s="653" t="n"/>
    </row>
    <row r="4136">
      <c r="F4136" s="653" t="n"/>
    </row>
    <row r="4137">
      <c r="F4137" s="653" t="n"/>
    </row>
    <row r="4138">
      <c r="F4138" s="653" t="n"/>
    </row>
    <row r="4139">
      <c r="F4139" s="653" t="n"/>
    </row>
    <row r="4140">
      <c r="F4140" s="653" t="n"/>
    </row>
    <row r="4141">
      <c r="F4141" s="653" t="n"/>
    </row>
    <row r="4142">
      <c r="F4142" s="653" t="n"/>
    </row>
    <row r="4143">
      <c r="F4143" s="653" t="n"/>
    </row>
    <row r="4144">
      <c r="F4144" s="653" t="n"/>
    </row>
    <row r="4145">
      <c r="F4145" s="653" t="n"/>
    </row>
    <row r="4146">
      <c r="F4146" s="653" t="n"/>
    </row>
    <row r="4147">
      <c r="F4147" s="653" t="n"/>
    </row>
    <row r="4148">
      <c r="F4148" s="653" t="n"/>
    </row>
    <row r="4149">
      <c r="F4149" s="653" t="n"/>
    </row>
    <row r="4150">
      <c r="F4150" s="653" t="n"/>
    </row>
    <row r="4151">
      <c r="F4151" s="653" t="n"/>
    </row>
    <row r="4152">
      <c r="F4152" s="653" t="n"/>
    </row>
    <row r="4153">
      <c r="F4153" s="653" t="n"/>
    </row>
    <row r="4154">
      <c r="F4154" s="653" t="n"/>
    </row>
    <row r="4155">
      <c r="F4155" s="653" t="n"/>
    </row>
    <row r="4156">
      <c r="F4156" s="653" t="n"/>
    </row>
    <row r="4157">
      <c r="F4157" s="653" t="n"/>
    </row>
    <row r="4158">
      <c r="F4158" s="653" t="n"/>
    </row>
    <row r="4159">
      <c r="F4159" s="653" t="n"/>
    </row>
    <row r="4160">
      <c r="F4160" s="653" t="n"/>
    </row>
    <row r="4161">
      <c r="F4161" s="653" t="n"/>
    </row>
    <row r="4162">
      <c r="F4162" s="653" t="n"/>
    </row>
    <row r="4163">
      <c r="F4163" s="653" t="n"/>
    </row>
    <row r="4164">
      <c r="F4164" s="653" t="n"/>
    </row>
    <row r="4165">
      <c r="F4165" s="653" t="n"/>
    </row>
    <row r="4166">
      <c r="F4166" s="653" t="n"/>
    </row>
    <row r="4167">
      <c r="F4167" s="653" t="n"/>
    </row>
    <row r="4168">
      <c r="F4168" s="653" t="n"/>
    </row>
    <row r="4169">
      <c r="F4169" s="653" t="n"/>
    </row>
    <row r="4170">
      <c r="F4170" s="653" t="n"/>
    </row>
    <row r="4171">
      <c r="F4171" s="653" t="n"/>
    </row>
    <row r="4172">
      <c r="F4172" s="653" t="n"/>
    </row>
    <row r="4173">
      <c r="F4173" s="653" t="n"/>
    </row>
    <row r="4174">
      <c r="F4174" s="653" t="n"/>
    </row>
    <row r="4175">
      <c r="F4175" s="653" t="n"/>
    </row>
    <row r="4176">
      <c r="F4176" s="653" t="n"/>
    </row>
    <row r="4177">
      <c r="F4177" s="653" t="n"/>
    </row>
    <row r="4178">
      <c r="F4178" s="653" t="n"/>
    </row>
    <row r="4179">
      <c r="F4179" s="653" t="n"/>
    </row>
    <row r="4180">
      <c r="F4180" s="653" t="n"/>
    </row>
    <row r="4181">
      <c r="F4181" s="653" t="n"/>
    </row>
    <row r="4182">
      <c r="F4182" s="653" t="n"/>
    </row>
    <row r="4183">
      <c r="F4183" s="653" t="n"/>
    </row>
    <row r="4184">
      <c r="F4184" s="653" t="n"/>
    </row>
    <row r="4185">
      <c r="F4185" s="653" t="n"/>
    </row>
    <row r="4186">
      <c r="F4186" s="653" t="n"/>
    </row>
    <row r="4187">
      <c r="F4187" s="653" t="n"/>
    </row>
    <row r="4188">
      <c r="F4188" s="653" t="n"/>
    </row>
    <row r="4189">
      <c r="F4189" s="653" t="n"/>
    </row>
    <row r="4190">
      <c r="F4190" s="653" t="n"/>
    </row>
    <row r="4191">
      <c r="F4191" s="653" t="n"/>
    </row>
    <row r="4192">
      <c r="F4192" s="653" t="n"/>
    </row>
    <row r="4193">
      <c r="F4193" s="653" t="n"/>
    </row>
    <row r="4194">
      <c r="F4194" s="653" t="n"/>
    </row>
    <row r="4195">
      <c r="F4195" s="653" t="n"/>
    </row>
    <row r="4196">
      <c r="F4196" s="653" t="n"/>
    </row>
    <row r="4197">
      <c r="F4197" s="653" t="n"/>
    </row>
    <row r="4198">
      <c r="F4198" s="653" t="n"/>
    </row>
    <row r="4199">
      <c r="F4199" s="653" t="n"/>
    </row>
    <row r="4200">
      <c r="F4200" s="653" t="n"/>
    </row>
    <row r="4201">
      <c r="F4201" s="653" t="n"/>
    </row>
    <row r="4202">
      <c r="F4202" s="653" t="n"/>
    </row>
    <row r="4203">
      <c r="F4203" s="653" t="n"/>
    </row>
    <row r="4204">
      <c r="F4204" s="653" t="n"/>
    </row>
    <row r="4205">
      <c r="F4205" s="653" t="n"/>
    </row>
    <row r="4206">
      <c r="F4206" s="653" t="n"/>
    </row>
    <row r="4207">
      <c r="F4207" s="653" t="n"/>
    </row>
    <row r="4208">
      <c r="F4208" s="653" t="n"/>
    </row>
    <row r="4209">
      <c r="F4209" s="653" t="n"/>
    </row>
    <row r="4210">
      <c r="F4210" s="653" t="n"/>
    </row>
    <row r="4211">
      <c r="F4211" s="653" t="n"/>
    </row>
    <row r="4212">
      <c r="F4212" s="653" t="n"/>
    </row>
    <row r="4213">
      <c r="F4213" s="653" t="n"/>
    </row>
    <row r="4214">
      <c r="F4214" s="653" t="n"/>
    </row>
    <row r="4215">
      <c r="F4215" s="653" t="n"/>
    </row>
    <row r="4216">
      <c r="F4216" s="653" t="n"/>
    </row>
    <row r="4217">
      <c r="F4217" s="653" t="n"/>
    </row>
    <row r="4218">
      <c r="F4218" s="653" t="n"/>
    </row>
    <row r="4219">
      <c r="F4219" s="653" t="n"/>
    </row>
    <row r="4220">
      <c r="F4220" s="653" t="n"/>
    </row>
    <row r="4221">
      <c r="F4221" s="653" t="n"/>
    </row>
    <row r="4222">
      <c r="F4222" s="653" t="n"/>
    </row>
    <row r="4223">
      <c r="F4223" s="653" t="n"/>
    </row>
    <row r="4224">
      <c r="F4224" s="653" t="n"/>
    </row>
    <row r="4225">
      <c r="F4225" s="653" t="n"/>
    </row>
    <row r="4226">
      <c r="F4226" s="653" t="n"/>
    </row>
    <row r="4227">
      <c r="F4227" s="653" t="n"/>
    </row>
    <row r="4228">
      <c r="F4228" s="653" t="n"/>
    </row>
    <row r="4229">
      <c r="F4229" s="653" t="n"/>
    </row>
    <row r="4230">
      <c r="F4230" s="653" t="n"/>
    </row>
    <row r="4231">
      <c r="F4231" s="653" t="n"/>
    </row>
    <row r="4232">
      <c r="F4232" s="653" t="n"/>
    </row>
    <row r="4233">
      <c r="F4233" s="653" t="n"/>
    </row>
    <row r="4234">
      <c r="F4234" s="653" t="n"/>
    </row>
    <row r="4235">
      <c r="F4235" s="653" t="n"/>
    </row>
    <row r="4236">
      <c r="F4236" s="653" t="n"/>
    </row>
    <row r="4237">
      <c r="F4237" s="653" t="n"/>
    </row>
    <row r="4238">
      <c r="F4238" s="653" t="n"/>
    </row>
    <row r="4239">
      <c r="F4239" s="653" t="n"/>
    </row>
    <row r="4240">
      <c r="F4240" s="653" t="n"/>
    </row>
    <row r="4241">
      <c r="F4241" s="653" t="n"/>
    </row>
    <row r="4242">
      <c r="F4242" s="653" t="n"/>
    </row>
    <row r="4243">
      <c r="F4243" s="653" t="n"/>
    </row>
    <row r="4244">
      <c r="F4244" s="653" t="n"/>
    </row>
    <row r="4245">
      <c r="F4245" s="653" t="n"/>
    </row>
    <row r="4246">
      <c r="F4246" s="653" t="n"/>
    </row>
    <row r="4247">
      <c r="F4247" s="653" t="n"/>
    </row>
    <row r="4248">
      <c r="F4248" s="653" t="n"/>
    </row>
    <row r="4249">
      <c r="F4249" s="653" t="n"/>
    </row>
    <row r="4250">
      <c r="F4250" s="653" t="n"/>
    </row>
    <row r="4251">
      <c r="F4251" s="653" t="n"/>
    </row>
    <row r="4252">
      <c r="F4252" s="653" t="n"/>
    </row>
    <row r="4253">
      <c r="F4253" s="653" t="n"/>
    </row>
    <row r="4254">
      <c r="F4254" s="653" t="n"/>
    </row>
    <row r="4255">
      <c r="F4255" s="653" t="n"/>
    </row>
    <row r="4256">
      <c r="F4256" s="653" t="n"/>
    </row>
    <row r="4257">
      <c r="F4257" s="653" t="n"/>
    </row>
    <row r="4258">
      <c r="F4258" s="653" t="n"/>
    </row>
    <row r="4259">
      <c r="F4259" s="653" t="n"/>
    </row>
    <row r="4260">
      <c r="F4260" s="653" t="n"/>
    </row>
    <row r="4261">
      <c r="F4261" s="653" t="n"/>
    </row>
    <row r="4262">
      <c r="F4262" s="653" t="n"/>
    </row>
    <row r="4263">
      <c r="F4263" s="653" t="n"/>
    </row>
    <row r="4264">
      <c r="F4264" s="653" t="n"/>
    </row>
    <row r="4265">
      <c r="F4265" s="653" t="n"/>
    </row>
    <row r="4266">
      <c r="F4266" s="653" t="n"/>
    </row>
    <row r="4267">
      <c r="F4267" s="653" t="n"/>
    </row>
    <row r="4268">
      <c r="F4268" s="653" t="n"/>
    </row>
    <row r="4269">
      <c r="F4269" s="653" t="n"/>
    </row>
    <row r="4270">
      <c r="F4270" s="653" t="n"/>
    </row>
    <row r="4271">
      <c r="F4271" s="653" t="n"/>
    </row>
    <row r="4272">
      <c r="F4272" s="653" t="n"/>
    </row>
    <row r="4273">
      <c r="F4273" s="653" t="n"/>
    </row>
    <row r="4274">
      <c r="F4274" s="653" t="n"/>
    </row>
    <row r="4275">
      <c r="F4275" s="653" t="n"/>
    </row>
    <row r="4276">
      <c r="F4276" s="653" t="n"/>
    </row>
    <row r="4277">
      <c r="F4277" s="653" t="n"/>
    </row>
    <row r="4278">
      <c r="F4278" s="653" t="n"/>
    </row>
    <row r="4279">
      <c r="F4279" s="653" t="n"/>
    </row>
    <row r="4280">
      <c r="F4280" s="653" t="n"/>
    </row>
    <row r="4281">
      <c r="F4281" s="653" t="n"/>
    </row>
    <row r="4282">
      <c r="F4282" s="653" t="n"/>
    </row>
    <row r="4283">
      <c r="F4283" s="653" t="n"/>
    </row>
    <row r="4284">
      <c r="F4284" s="653" t="n"/>
    </row>
    <row r="4285">
      <c r="F4285" s="653" t="n"/>
    </row>
    <row r="4286">
      <c r="F4286" s="653" t="n"/>
    </row>
    <row r="4287">
      <c r="F4287" s="653" t="n"/>
    </row>
    <row r="4288">
      <c r="F4288" s="653" t="n"/>
    </row>
    <row r="4289">
      <c r="F4289" s="653" t="n"/>
    </row>
    <row r="4290">
      <c r="F4290" s="653" t="n"/>
    </row>
    <row r="4291">
      <c r="F4291" s="653" t="n"/>
    </row>
    <row r="4292">
      <c r="F4292" s="653" t="n"/>
    </row>
    <row r="4293">
      <c r="F4293" s="653" t="n"/>
    </row>
    <row r="4294">
      <c r="F4294" s="653" t="n"/>
    </row>
    <row r="4295">
      <c r="F4295" s="653" t="n"/>
    </row>
    <row r="4296">
      <c r="F4296" s="653" t="n"/>
    </row>
    <row r="4297">
      <c r="F4297" s="653" t="n"/>
    </row>
    <row r="4298">
      <c r="F4298" s="653" t="n"/>
    </row>
    <row r="4299">
      <c r="F4299" s="653" t="n"/>
    </row>
    <row r="4300">
      <c r="F4300" s="653" t="n"/>
    </row>
    <row r="4301">
      <c r="F4301" s="653" t="n"/>
    </row>
    <row r="4302">
      <c r="F4302" s="653" t="n"/>
    </row>
    <row r="4303">
      <c r="F4303" s="653" t="n"/>
    </row>
    <row r="4304">
      <c r="F4304" s="653" t="n"/>
    </row>
    <row r="4305">
      <c r="F4305" s="653" t="n"/>
    </row>
    <row r="4306">
      <c r="F4306" s="653" t="n"/>
    </row>
    <row r="4307">
      <c r="F4307" s="653" t="n"/>
    </row>
    <row r="4308">
      <c r="F4308" s="653" t="n"/>
    </row>
    <row r="4309">
      <c r="F4309" s="653" t="n"/>
    </row>
    <row r="4310">
      <c r="F4310" s="653" t="n"/>
    </row>
    <row r="4311">
      <c r="F4311" s="653" t="n"/>
    </row>
    <row r="4312">
      <c r="F4312" s="653" t="n"/>
    </row>
    <row r="4313">
      <c r="F4313" s="653" t="n"/>
    </row>
    <row r="4314">
      <c r="F4314" s="653" t="n"/>
    </row>
    <row r="4315">
      <c r="F4315" s="653" t="n"/>
    </row>
    <row r="4316">
      <c r="F4316" s="653" t="n"/>
    </row>
    <row r="4317">
      <c r="F4317" s="653" t="n"/>
    </row>
    <row r="4318">
      <c r="F4318" s="653" t="n"/>
    </row>
    <row r="4319">
      <c r="F4319" s="653" t="n"/>
    </row>
    <row r="4320">
      <c r="F4320" s="653" t="n"/>
    </row>
    <row r="4321">
      <c r="F4321" s="653" t="n"/>
    </row>
    <row r="4322">
      <c r="F4322" s="653" t="n"/>
    </row>
    <row r="4323">
      <c r="F4323" s="653" t="n"/>
    </row>
    <row r="4324">
      <c r="F4324" s="653" t="n"/>
    </row>
    <row r="4325">
      <c r="F4325" s="653" t="n"/>
    </row>
    <row r="4326">
      <c r="F4326" s="653" t="n"/>
    </row>
    <row r="4327">
      <c r="F4327" s="653" t="n"/>
    </row>
    <row r="4328">
      <c r="F4328" s="653" t="n"/>
    </row>
    <row r="4329">
      <c r="F4329" s="653" t="n"/>
    </row>
    <row r="4330">
      <c r="F4330" s="653" t="n"/>
    </row>
    <row r="4331">
      <c r="F4331" s="653" t="n"/>
    </row>
    <row r="4332">
      <c r="F4332" s="653" t="n"/>
    </row>
    <row r="4333">
      <c r="F4333" s="653" t="n"/>
    </row>
    <row r="4334">
      <c r="F4334" s="653" t="n"/>
    </row>
    <row r="4335">
      <c r="F4335" s="653" t="n"/>
    </row>
    <row r="4336">
      <c r="F4336" s="653" t="n"/>
    </row>
    <row r="4337">
      <c r="F4337" s="653" t="n"/>
    </row>
    <row r="4338">
      <c r="F4338" s="653" t="n"/>
    </row>
    <row r="4339">
      <c r="F4339" s="653" t="n"/>
    </row>
    <row r="4340">
      <c r="F4340" s="653" t="n"/>
    </row>
    <row r="4341">
      <c r="F4341" s="653" t="n"/>
    </row>
    <row r="4342">
      <c r="F4342" s="653" t="n"/>
    </row>
    <row r="4343">
      <c r="F4343" s="653" t="n"/>
    </row>
    <row r="4344">
      <c r="F4344" s="653" t="n"/>
    </row>
    <row r="4345">
      <c r="F4345" s="653" t="n"/>
    </row>
    <row r="4346">
      <c r="F4346" s="653" t="n"/>
    </row>
    <row r="4347">
      <c r="F4347" s="653" t="n"/>
    </row>
    <row r="4348">
      <c r="F4348" s="653" t="n"/>
    </row>
    <row r="4349">
      <c r="F4349" s="653" t="n"/>
    </row>
    <row r="4350">
      <c r="F4350" s="653" t="n"/>
    </row>
    <row r="4351">
      <c r="F4351" s="653" t="n"/>
    </row>
    <row r="4352">
      <c r="F4352" s="653" t="n"/>
    </row>
    <row r="4353">
      <c r="F4353" s="653" t="n"/>
    </row>
    <row r="4354">
      <c r="F4354" s="653" t="n"/>
    </row>
    <row r="4355">
      <c r="F4355" s="653" t="n"/>
    </row>
    <row r="4356">
      <c r="F4356" s="653" t="n"/>
    </row>
    <row r="4357">
      <c r="F4357" s="653" t="n"/>
    </row>
    <row r="4358">
      <c r="F4358" s="653" t="n"/>
    </row>
    <row r="4359">
      <c r="F4359" s="653" t="n"/>
    </row>
    <row r="4360">
      <c r="F4360" s="653" t="n"/>
    </row>
    <row r="4361">
      <c r="F4361" s="653" t="n"/>
    </row>
    <row r="4362">
      <c r="F4362" s="653" t="n"/>
    </row>
    <row r="4363">
      <c r="F4363" s="653" t="n"/>
    </row>
    <row r="4364">
      <c r="F4364" s="653" t="n"/>
    </row>
    <row r="4365">
      <c r="F4365" s="653" t="n"/>
    </row>
    <row r="4366">
      <c r="F4366" s="653" t="n"/>
    </row>
    <row r="4367">
      <c r="F4367" s="653" t="n"/>
    </row>
    <row r="4368">
      <c r="F4368" s="653" t="n"/>
    </row>
    <row r="4369">
      <c r="F4369" s="653" t="n"/>
    </row>
    <row r="4370">
      <c r="F4370" s="653" t="n"/>
    </row>
    <row r="4371">
      <c r="F4371" s="653" t="n"/>
    </row>
    <row r="4372">
      <c r="F4372" s="653" t="n"/>
    </row>
    <row r="4373">
      <c r="F4373" s="653" t="n"/>
    </row>
    <row r="4374">
      <c r="F4374" s="653" t="n"/>
    </row>
    <row r="4375">
      <c r="F4375" s="653" t="n"/>
    </row>
    <row r="4376">
      <c r="F4376" s="653" t="n"/>
    </row>
    <row r="4377">
      <c r="F4377" s="653" t="n"/>
    </row>
    <row r="4378">
      <c r="F4378" s="653" t="n"/>
    </row>
    <row r="4379">
      <c r="F4379" s="653" t="n"/>
    </row>
    <row r="4380">
      <c r="F4380" s="653" t="n"/>
    </row>
    <row r="4381">
      <c r="F4381" s="653" t="n"/>
    </row>
    <row r="4382">
      <c r="F4382" s="653" t="n"/>
    </row>
    <row r="4383">
      <c r="F4383" s="653" t="n"/>
    </row>
    <row r="4384">
      <c r="F4384" s="653" t="n"/>
    </row>
    <row r="4385">
      <c r="F4385" s="653" t="n"/>
    </row>
    <row r="4386">
      <c r="F4386" s="653" t="n"/>
    </row>
    <row r="4387">
      <c r="F4387" s="653" t="n"/>
    </row>
    <row r="4388">
      <c r="F4388" s="653" t="n"/>
    </row>
    <row r="4389">
      <c r="F4389" s="653" t="n"/>
    </row>
    <row r="4390">
      <c r="F4390" s="653" t="n"/>
    </row>
    <row r="4391">
      <c r="F4391" s="653" t="n"/>
    </row>
    <row r="4392">
      <c r="F4392" s="653" t="n"/>
    </row>
    <row r="4393">
      <c r="F4393" s="653" t="n"/>
    </row>
    <row r="4394">
      <c r="F4394" s="653" t="n"/>
    </row>
    <row r="4395">
      <c r="F4395" s="653" t="n"/>
    </row>
    <row r="4396">
      <c r="F4396" s="653" t="n"/>
    </row>
    <row r="4397">
      <c r="F4397" s="653" t="n"/>
    </row>
    <row r="4398">
      <c r="F4398" s="653" t="n"/>
    </row>
    <row r="4399">
      <c r="F4399" s="653" t="n"/>
    </row>
    <row r="4400">
      <c r="F4400" s="653" t="n"/>
    </row>
    <row r="4401">
      <c r="F4401" s="653" t="n"/>
    </row>
    <row r="4402">
      <c r="F4402" s="653" t="n"/>
    </row>
    <row r="4403">
      <c r="F4403" s="653" t="n"/>
    </row>
    <row r="4404">
      <c r="F4404" s="653" t="n"/>
    </row>
    <row r="4405">
      <c r="F4405" s="653" t="n"/>
    </row>
    <row r="4406">
      <c r="F4406" s="653" t="n"/>
    </row>
    <row r="4407">
      <c r="F4407" s="653" t="n"/>
    </row>
    <row r="4408">
      <c r="F4408" s="653" t="n"/>
    </row>
    <row r="4409">
      <c r="F4409" s="653" t="n"/>
    </row>
    <row r="4410">
      <c r="F4410" s="653" t="n"/>
    </row>
    <row r="4411">
      <c r="F4411" s="653" t="n"/>
    </row>
    <row r="4412">
      <c r="F4412" s="653" t="n"/>
    </row>
    <row r="4413">
      <c r="F4413" s="653" t="n"/>
    </row>
    <row r="4414">
      <c r="F4414" s="653" t="n"/>
    </row>
    <row r="4415">
      <c r="F4415" s="653" t="n"/>
    </row>
    <row r="4416">
      <c r="F4416" s="653" t="n"/>
    </row>
    <row r="4417">
      <c r="F4417" s="653" t="n"/>
    </row>
    <row r="4418">
      <c r="F4418" s="653" t="n"/>
    </row>
    <row r="4419">
      <c r="F4419" s="653" t="n"/>
    </row>
    <row r="4420">
      <c r="F4420" s="653" t="n"/>
    </row>
    <row r="4421">
      <c r="F4421" s="653" t="n"/>
    </row>
    <row r="4422">
      <c r="F4422" s="653" t="n"/>
    </row>
    <row r="4423">
      <c r="F4423" s="653" t="n"/>
    </row>
    <row r="4424">
      <c r="F4424" s="653" t="n"/>
    </row>
    <row r="4425">
      <c r="F4425" s="653" t="n"/>
    </row>
    <row r="4426">
      <c r="F4426" s="653" t="n"/>
    </row>
    <row r="4427">
      <c r="F4427" s="653" t="n"/>
    </row>
    <row r="4428">
      <c r="F4428" s="653" t="n"/>
    </row>
    <row r="4429">
      <c r="F4429" s="653" t="n"/>
    </row>
    <row r="4430">
      <c r="F4430" s="653" t="n"/>
    </row>
    <row r="4431">
      <c r="F4431" s="653" t="n"/>
    </row>
    <row r="4432">
      <c r="F4432" s="653" t="n"/>
    </row>
    <row r="4433">
      <c r="F4433" s="653" t="n"/>
    </row>
    <row r="4434">
      <c r="F4434" s="653" t="n"/>
    </row>
    <row r="4435">
      <c r="F4435" s="653" t="n"/>
    </row>
    <row r="4436">
      <c r="F4436" s="653" t="n"/>
    </row>
    <row r="4437">
      <c r="F4437" s="653" t="n"/>
    </row>
    <row r="4438">
      <c r="F4438" s="653" t="n"/>
    </row>
    <row r="4439">
      <c r="F4439" s="653" t="n"/>
    </row>
    <row r="4440">
      <c r="F4440" s="653" t="n"/>
    </row>
    <row r="4441">
      <c r="F4441" s="653" t="n"/>
    </row>
    <row r="4442">
      <c r="F4442" s="653" t="n"/>
    </row>
    <row r="4443">
      <c r="F4443" s="653" t="n"/>
    </row>
    <row r="4444">
      <c r="F4444" s="653" t="n"/>
    </row>
    <row r="4445">
      <c r="F4445" s="653" t="n"/>
    </row>
    <row r="4446">
      <c r="F4446" s="653" t="n"/>
    </row>
    <row r="4447">
      <c r="F4447" s="653" t="n"/>
    </row>
    <row r="4448">
      <c r="F4448" s="653" t="n"/>
    </row>
    <row r="4449">
      <c r="F4449" s="653" t="n"/>
    </row>
    <row r="4450">
      <c r="F4450" s="653" t="n"/>
    </row>
    <row r="4451">
      <c r="F4451" s="653" t="n"/>
    </row>
    <row r="4452">
      <c r="F4452" s="653" t="n"/>
    </row>
    <row r="4453">
      <c r="F4453" s="653" t="n"/>
    </row>
    <row r="4454">
      <c r="F4454" s="653" t="n"/>
    </row>
    <row r="4455">
      <c r="F4455" s="653" t="n"/>
    </row>
    <row r="4456">
      <c r="F4456" s="653" t="n"/>
    </row>
    <row r="4457">
      <c r="F4457" s="653" t="n"/>
    </row>
    <row r="4458">
      <c r="F4458" s="653" t="n"/>
    </row>
    <row r="4459">
      <c r="F4459" s="653" t="n"/>
    </row>
    <row r="4460">
      <c r="F4460" s="653" t="n"/>
    </row>
    <row r="4461">
      <c r="F4461" s="653" t="n"/>
    </row>
    <row r="4462">
      <c r="F4462" s="653" t="n"/>
    </row>
    <row r="4463">
      <c r="F4463" s="653" t="n"/>
    </row>
    <row r="4464">
      <c r="F4464" s="653" t="n"/>
    </row>
    <row r="4465">
      <c r="F4465" s="653" t="n"/>
    </row>
    <row r="4466">
      <c r="F4466" s="653" t="n"/>
    </row>
    <row r="4467">
      <c r="F4467" s="653" t="n"/>
    </row>
    <row r="4468">
      <c r="F4468" s="653" t="n"/>
    </row>
    <row r="4469">
      <c r="F4469" s="653" t="n"/>
    </row>
    <row r="4470">
      <c r="F4470" s="653" t="n"/>
    </row>
    <row r="4471">
      <c r="F4471" s="653" t="n"/>
    </row>
    <row r="4472">
      <c r="F4472" s="653" t="n"/>
    </row>
    <row r="4473">
      <c r="F4473" s="653" t="n"/>
    </row>
    <row r="4474">
      <c r="F4474" s="653" t="n"/>
    </row>
    <row r="4475">
      <c r="F4475" s="653" t="n"/>
    </row>
    <row r="4476">
      <c r="F4476" s="653" t="n"/>
    </row>
    <row r="4477">
      <c r="F4477" s="653" t="n"/>
    </row>
    <row r="4478">
      <c r="F4478" s="653" t="n"/>
    </row>
    <row r="4479">
      <c r="F4479" s="653" t="n"/>
    </row>
    <row r="4480">
      <c r="F4480" s="653" t="n"/>
    </row>
    <row r="4481">
      <c r="F4481" s="653" t="n"/>
    </row>
    <row r="4482">
      <c r="F4482" s="653" t="n"/>
    </row>
    <row r="4483">
      <c r="F4483" s="653" t="n"/>
    </row>
    <row r="4484">
      <c r="F4484" s="653" t="n"/>
    </row>
    <row r="4485">
      <c r="F4485" s="653" t="n"/>
    </row>
    <row r="4486">
      <c r="F4486" s="653" t="n"/>
    </row>
    <row r="4487">
      <c r="F4487" s="653" t="n"/>
    </row>
    <row r="4488">
      <c r="F4488" s="653" t="n"/>
    </row>
    <row r="4489">
      <c r="F4489" s="653" t="n"/>
    </row>
    <row r="4490">
      <c r="F4490" s="653" t="n"/>
    </row>
    <row r="4491">
      <c r="F4491" s="653" t="n"/>
    </row>
    <row r="4492">
      <c r="F4492" s="653" t="n"/>
    </row>
    <row r="4493">
      <c r="F4493" s="653" t="n"/>
    </row>
    <row r="4494">
      <c r="F4494" s="653" t="n"/>
    </row>
    <row r="4495">
      <c r="F4495" s="653" t="n"/>
    </row>
    <row r="4496">
      <c r="F4496" s="653" t="n"/>
    </row>
    <row r="4497">
      <c r="F4497" s="653" t="n"/>
    </row>
    <row r="4498">
      <c r="F4498" s="653" t="n"/>
    </row>
    <row r="4499">
      <c r="F4499" s="653" t="n"/>
    </row>
    <row r="4500">
      <c r="F4500" s="653" t="n"/>
    </row>
    <row r="4501">
      <c r="F4501" s="653" t="n"/>
    </row>
    <row r="4502">
      <c r="F4502" s="653" t="n"/>
    </row>
    <row r="4503">
      <c r="F4503" s="653" t="n"/>
    </row>
    <row r="4504">
      <c r="F4504" s="653" t="n"/>
    </row>
    <row r="4505">
      <c r="F4505" s="653" t="n"/>
    </row>
    <row r="4506">
      <c r="F4506" s="653" t="n"/>
    </row>
    <row r="4507">
      <c r="F4507" s="653" t="n"/>
    </row>
    <row r="4508">
      <c r="F4508" s="653" t="n"/>
    </row>
    <row r="4509">
      <c r="F4509" s="653" t="n"/>
    </row>
    <row r="4510">
      <c r="F4510" s="653" t="n"/>
    </row>
    <row r="4511">
      <c r="F4511" s="653" t="n"/>
    </row>
    <row r="4512">
      <c r="F4512" s="653" t="n"/>
    </row>
    <row r="4513">
      <c r="F4513" s="653" t="n"/>
    </row>
    <row r="4514">
      <c r="F4514" s="653" t="n"/>
    </row>
    <row r="4515">
      <c r="F4515" s="653" t="n"/>
    </row>
    <row r="4516">
      <c r="F4516" s="653" t="n"/>
    </row>
    <row r="4517">
      <c r="F4517" s="653" t="n"/>
    </row>
    <row r="4518">
      <c r="F4518" s="653" t="n"/>
    </row>
    <row r="4519">
      <c r="F4519" s="653" t="n"/>
    </row>
    <row r="4520">
      <c r="F4520" s="653" t="n"/>
    </row>
    <row r="4521">
      <c r="F4521" s="653" t="n"/>
    </row>
    <row r="4522">
      <c r="F4522" s="653" t="n"/>
    </row>
    <row r="4523">
      <c r="F4523" s="653" t="n"/>
    </row>
    <row r="4524">
      <c r="F4524" s="653" t="n"/>
    </row>
    <row r="4525">
      <c r="F4525" s="653" t="n"/>
    </row>
    <row r="4526">
      <c r="F4526" s="653" t="n"/>
    </row>
    <row r="4527">
      <c r="F4527" s="653" t="n"/>
    </row>
    <row r="4528">
      <c r="F4528" s="653" t="n"/>
    </row>
    <row r="4529">
      <c r="F4529" s="653" t="n"/>
    </row>
    <row r="4530">
      <c r="F4530" s="653" t="n"/>
    </row>
    <row r="4531">
      <c r="F4531" s="653" t="n"/>
    </row>
    <row r="4532">
      <c r="F4532" s="653" t="n"/>
    </row>
    <row r="4533">
      <c r="F4533" s="653" t="n"/>
    </row>
    <row r="4534">
      <c r="F4534" s="653" t="n"/>
    </row>
    <row r="4535">
      <c r="F4535" s="653" t="n"/>
    </row>
    <row r="4536">
      <c r="F4536" s="653" t="n"/>
    </row>
    <row r="4537">
      <c r="F4537" s="653" t="n"/>
    </row>
    <row r="4538">
      <c r="F4538" s="653" t="n"/>
    </row>
    <row r="4539">
      <c r="F4539" s="653" t="n"/>
    </row>
    <row r="4540">
      <c r="F4540" s="653" t="n"/>
    </row>
    <row r="4541">
      <c r="F4541" s="653" t="n"/>
    </row>
    <row r="4542">
      <c r="F4542" s="653" t="n"/>
    </row>
    <row r="4543">
      <c r="F4543" s="653" t="n"/>
    </row>
    <row r="4544">
      <c r="F4544" s="653" t="n"/>
    </row>
    <row r="4545">
      <c r="F4545" s="653" t="n"/>
    </row>
    <row r="4546">
      <c r="F4546" s="653" t="n"/>
    </row>
    <row r="4547">
      <c r="F4547" s="653" t="n"/>
    </row>
    <row r="4548">
      <c r="F4548" s="653" t="n"/>
    </row>
    <row r="4549">
      <c r="F4549" s="653" t="n"/>
    </row>
    <row r="4550">
      <c r="F4550" s="653" t="n"/>
    </row>
    <row r="4551">
      <c r="F4551" s="653" t="n"/>
    </row>
    <row r="4552">
      <c r="F4552" s="653" t="n"/>
    </row>
    <row r="4553">
      <c r="F4553" s="653" t="n"/>
    </row>
    <row r="4554">
      <c r="F4554" s="653" t="n"/>
    </row>
    <row r="4555">
      <c r="F4555" s="653" t="n"/>
    </row>
    <row r="4556">
      <c r="F4556" s="653" t="n"/>
    </row>
    <row r="4557">
      <c r="F4557" s="653" t="n"/>
    </row>
    <row r="4558">
      <c r="F4558" s="653" t="n"/>
    </row>
    <row r="4559">
      <c r="F4559" s="653" t="n"/>
    </row>
    <row r="4560">
      <c r="F4560" s="653" t="n"/>
    </row>
    <row r="4561">
      <c r="F4561" s="653" t="n"/>
    </row>
    <row r="4562">
      <c r="F4562" s="653" t="n"/>
    </row>
    <row r="4563">
      <c r="F4563" s="653" t="n"/>
    </row>
    <row r="4564">
      <c r="F4564" s="653" t="n"/>
    </row>
    <row r="4565">
      <c r="F4565" s="653" t="n"/>
    </row>
    <row r="4566">
      <c r="F4566" s="653" t="n"/>
    </row>
    <row r="4567">
      <c r="F4567" s="653" t="n"/>
    </row>
    <row r="4568">
      <c r="F4568" s="653" t="n"/>
    </row>
    <row r="4569">
      <c r="F4569" s="653" t="n"/>
    </row>
    <row r="4570">
      <c r="F4570" s="653" t="n"/>
    </row>
    <row r="4571">
      <c r="F4571" s="653" t="n"/>
    </row>
    <row r="4572">
      <c r="F4572" s="653" t="n"/>
    </row>
    <row r="4573">
      <c r="F4573" s="653" t="n"/>
    </row>
    <row r="4574">
      <c r="F4574" s="653" t="n"/>
    </row>
    <row r="4575">
      <c r="F4575" s="653" t="n"/>
    </row>
    <row r="4576">
      <c r="F4576" s="653" t="n"/>
    </row>
    <row r="4577">
      <c r="F4577" s="653" t="n"/>
    </row>
    <row r="4578">
      <c r="F4578" s="653" t="n"/>
    </row>
    <row r="4579">
      <c r="F4579" s="653" t="n"/>
    </row>
    <row r="4580">
      <c r="F4580" s="653" t="n"/>
    </row>
    <row r="4581">
      <c r="F4581" s="653" t="n"/>
    </row>
    <row r="4582">
      <c r="F4582" s="653" t="n"/>
    </row>
    <row r="4583">
      <c r="F4583" s="653" t="n"/>
    </row>
    <row r="4584">
      <c r="F4584" s="653" t="n"/>
    </row>
    <row r="4585">
      <c r="F4585" s="653" t="n"/>
    </row>
    <row r="4586">
      <c r="F4586" s="653" t="n"/>
    </row>
    <row r="4587">
      <c r="F4587" s="653" t="n"/>
    </row>
    <row r="4588">
      <c r="F4588" s="653" t="n"/>
    </row>
    <row r="4589">
      <c r="F4589" s="653" t="n"/>
    </row>
    <row r="4590">
      <c r="F4590" s="653" t="n"/>
    </row>
    <row r="4591">
      <c r="F4591" s="653" t="n"/>
    </row>
    <row r="4592">
      <c r="F4592" s="653" t="n"/>
    </row>
    <row r="4593">
      <c r="F4593" s="653" t="n"/>
    </row>
    <row r="4594">
      <c r="F4594" s="653" t="n"/>
    </row>
    <row r="4595">
      <c r="F4595" s="653" t="n"/>
    </row>
    <row r="4596">
      <c r="F4596" s="653" t="n"/>
    </row>
    <row r="4597">
      <c r="F4597" s="653" t="n"/>
    </row>
    <row r="4598">
      <c r="F4598" s="653" t="n"/>
    </row>
    <row r="4599">
      <c r="F4599" s="653" t="n"/>
    </row>
    <row r="4600">
      <c r="F4600" s="653" t="n"/>
    </row>
    <row r="4601">
      <c r="F4601" s="653" t="n"/>
    </row>
    <row r="4602">
      <c r="F4602" s="653" t="n"/>
    </row>
    <row r="4603">
      <c r="F4603" s="653" t="n"/>
    </row>
    <row r="4604">
      <c r="F4604" s="653" t="n"/>
    </row>
    <row r="4605">
      <c r="F4605" s="653" t="n"/>
    </row>
    <row r="4606">
      <c r="F4606" s="653" t="n"/>
    </row>
    <row r="4607">
      <c r="F4607" s="653" t="n"/>
    </row>
    <row r="4608">
      <c r="F4608" s="653" t="n"/>
    </row>
    <row r="4609">
      <c r="F4609" s="653" t="n"/>
    </row>
    <row r="4610">
      <c r="F4610" s="653" t="n"/>
    </row>
    <row r="4611">
      <c r="F4611" s="653" t="n"/>
    </row>
    <row r="4612">
      <c r="F4612" s="653" t="n"/>
    </row>
    <row r="4613">
      <c r="F4613" s="653" t="n"/>
    </row>
    <row r="4614">
      <c r="F4614" s="653" t="n"/>
    </row>
    <row r="4615">
      <c r="F4615" s="653" t="n"/>
    </row>
    <row r="4616">
      <c r="F4616" s="653" t="n"/>
    </row>
    <row r="4617">
      <c r="F4617" s="653" t="n"/>
    </row>
    <row r="4618">
      <c r="F4618" s="653" t="n"/>
    </row>
    <row r="4619">
      <c r="F4619" s="653" t="n"/>
    </row>
    <row r="4620">
      <c r="F4620" s="653" t="n"/>
    </row>
    <row r="4621">
      <c r="F4621" s="653" t="n"/>
    </row>
    <row r="4622">
      <c r="F4622" s="653" t="n"/>
    </row>
    <row r="4623">
      <c r="F4623" s="653" t="n"/>
    </row>
    <row r="4624">
      <c r="F4624" s="653" t="n"/>
    </row>
    <row r="4625">
      <c r="F4625" s="653" t="n"/>
    </row>
    <row r="4626">
      <c r="F4626" s="653" t="n"/>
    </row>
    <row r="4627">
      <c r="F4627" s="653" t="n"/>
    </row>
    <row r="4628">
      <c r="F4628" s="653" t="n"/>
    </row>
    <row r="4629">
      <c r="F4629" s="653" t="n"/>
    </row>
    <row r="4630">
      <c r="F4630" s="653" t="n"/>
    </row>
    <row r="4631">
      <c r="F4631" s="653" t="n"/>
    </row>
    <row r="4632">
      <c r="F4632" s="653" t="n"/>
    </row>
    <row r="4633">
      <c r="F4633" s="653" t="n"/>
    </row>
    <row r="4634">
      <c r="F4634" s="653" t="n"/>
    </row>
    <row r="4635">
      <c r="F4635" s="653" t="n"/>
    </row>
    <row r="4636">
      <c r="F4636" s="653" t="n"/>
    </row>
    <row r="4637">
      <c r="F4637" s="653" t="n"/>
    </row>
    <row r="4638">
      <c r="F4638" s="653" t="n"/>
    </row>
    <row r="4639">
      <c r="F4639" s="653" t="n"/>
    </row>
    <row r="4640">
      <c r="F4640" s="653" t="n"/>
    </row>
    <row r="4641">
      <c r="F4641" s="653" t="n"/>
    </row>
    <row r="4642">
      <c r="F4642" s="653" t="n"/>
    </row>
    <row r="4643">
      <c r="F4643" s="653" t="n"/>
    </row>
    <row r="4644">
      <c r="F4644" s="653" t="n"/>
    </row>
    <row r="4645">
      <c r="F4645" s="653" t="n"/>
    </row>
    <row r="4646">
      <c r="F4646" s="653" t="n"/>
    </row>
    <row r="4647">
      <c r="F4647" s="653" t="n"/>
    </row>
    <row r="4648">
      <c r="F4648" s="653" t="n"/>
    </row>
    <row r="4649">
      <c r="F4649" s="653" t="n"/>
    </row>
    <row r="4650">
      <c r="F4650" s="653" t="n"/>
    </row>
    <row r="4651">
      <c r="F4651" s="653" t="n"/>
    </row>
    <row r="4652">
      <c r="F4652" s="653" t="n"/>
    </row>
    <row r="4653">
      <c r="F4653" s="653" t="n"/>
    </row>
    <row r="4654">
      <c r="F4654" s="653" t="n"/>
    </row>
    <row r="4655">
      <c r="F4655" s="653" t="n"/>
    </row>
    <row r="4656">
      <c r="F4656" s="653" t="n"/>
    </row>
    <row r="4657">
      <c r="F4657" s="653" t="n"/>
    </row>
    <row r="4658">
      <c r="F4658" s="653" t="n"/>
    </row>
    <row r="4659">
      <c r="F4659" s="653" t="n"/>
    </row>
    <row r="4660">
      <c r="F4660" s="653" t="n"/>
    </row>
    <row r="4661">
      <c r="F4661" s="653" t="n"/>
    </row>
    <row r="4662">
      <c r="F4662" s="653" t="n"/>
    </row>
    <row r="4663">
      <c r="F4663" s="653" t="n"/>
    </row>
    <row r="4664">
      <c r="F4664" s="653" t="n"/>
    </row>
    <row r="4665">
      <c r="F4665" s="653" t="n"/>
    </row>
    <row r="4666">
      <c r="F4666" s="653" t="n"/>
    </row>
    <row r="4667">
      <c r="F4667" s="653" t="n"/>
    </row>
    <row r="4668">
      <c r="F4668" s="653" t="n"/>
    </row>
    <row r="4669">
      <c r="F4669" s="653" t="n"/>
    </row>
    <row r="4670">
      <c r="F4670" s="653" t="n"/>
    </row>
    <row r="4671">
      <c r="F4671" s="653" t="n"/>
    </row>
    <row r="4672">
      <c r="F4672" s="653" t="n"/>
    </row>
    <row r="4673">
      <c r="F4673" s="653" t="n"/>
    </row>
    <row r="4674">
      <c r="F4674" s="653" t="n"/>
    </row>
    <row r="4675">
      <c r="F4675" s="653" t="n"/>
    </row>
    <row r="4676">
      <c r="F4676" s="653" t="n"/>
    </row>
    <row r="4677">
      <c r="F4677" s="653" t="n"/>
    </row>
    <row r="4678">
      <c r="F4678" s="653" t="n"/>
    </row>
    <row r="4679">
      <c r="F4679" s="653" t="n"/>
    </row>
    <row r="4680">
      <c r="F4680" s="653" t="n"/>
    </row>
    <row r="4681">
      <c r="F4681" s="653" t="n"/>
    </row>
    <row r="4682">
      <c r="F4682" s="653" t="n"/>
    </row>
    <row r="4683">
      <c r="F4683" s="653" t="n"/>
    </row>
    <row r="4684">
      <c r="F4684" s="653" t="n"/>
    </row>
    <row r="4685">
      <c r="F4685" s="653" t="n"/>
    </row>
    <row r="4686">
      <c r="F4686" s="653" t="n"/>
    </row>
    <row r="4687">
      <c r="F4687" s="653" t="n"/>
    </row>
    <row r="4688">
      <c r="F4688" s="653" t="n"/>
    </row>
    <row r="4689">
      <c r="F4689" s="653" t="n"/>
    </row>
    <row r="4690">
      <c r="F4690" s="653" t="n"/>
    </row>
    <row r="4691">
      <c r="F4691" s="653" t="n"/>
    </row>
    <row r="4692">
      <c r="F4692" s="653" t="n"/>
    </row>
    <row r="4693">
      <c r="F4693" s="653" t="n"/>
    </row>
    <row r="4694">
      <c r="F4694" s="653" t="n"/>
    </row>
    <row r="4695">
      <c r="F4695" s="653" t="n"/>
    </row>
    <row r="4696">
      <c r="F4696" s="653" t="n"/>
    </row>
    <row r="4697">
      <c r="F4697" s="653" t="n"/>
    </row>
    <row r="4698">
      <c r="F4698" s="653" t="n"/>
    </row>
    <row r="4699">
      <c r="F4699" s="653" t="n"/>
    </row>
    <row r="4700">
      <c r="F4700" s="653" t="n"/>
    </row>
    <row r="4701">
      <c r="F4701" s="653" t="n"/>
    </row>
    <row r="4702">
      <c r="F4702" s="653" t="n"/>
    </row>
    <row r="4703">
      <c r="F4703" s="653" t="n"/>
    </row>
    <row r="4704">
      <c r="F4704" s="653" t="n"/>
    </row>
    <row r="4705">
      <c r="F4705" s="653" t="n"/>
    </row>
    <row r="4706">
      <c r="F4706" s="653" t="n"/>
    </row>
    <row r="4707">
      <c r="F4707" s="653" t="n"/>
    </row>
    <row r="4708">
      <c r="F4708" s="653" t="n"/>
    </row>
    <row r="4709">
      <c r="F4709" s="653" t="n"/>
    </row>
    <row r="4710">
      <c r="F4710" s="653" t="n"/>
    </row>
    <row r="4711">
      <c r="F4711" s="653" t="n"/>
    </row>
    <row r="4712">
      <c r="F4712" s="653" t="n"/>
    </row>
    <row r="4713">
      <c r="F4713" s="653" t="n"/>
    </row>
    <row r="4714">
      <c r="F4714" s="653" t="n"/>
    </row>
    <row r="4715">
      <c r="F4715" s="653" t="n"/>
    </row>
    <row r="4716">
      <c r="F4716" s="653" t="n"/>
    </row>
    <row r="4717">
      <c r="F4717" s="653" t="n"/>
    </row>
    <row r="4718">
      <c r="F4718" s="653" t="n"/>
    </row>
    <row r="4719">
      <c r="F4719" s="653" t="n"/>
    </row>
    <row r="4720">
      <c r="F4720" s="653" t="n"/>
    </row>
    <row r="4721">
      <c r="F4721" s="653" t="n"/>
    </row>
    <row r="4722">
      <c r="F4722" s="653" t="n"/>
    </row>
    <row r="4723">
      <c r="F4723" s="653" t="n"/>
    </row>
    <row r="4724">
      <c r="F4724" s="653" t="n"/>
    </row>
    <row r="4725">
      <c r="F4725" s="653" t="n"/>
    </row>
    <row r="4726">
      <c r="F4726" s="653" t="n"/>
    </row>
    <row r="4727">
      <c r="F4727" s="653" t="n"/>
    </row>
    <row r="4728">
      <c r="F4728" s="653" t="n"/>
    </row>
    <row r="4729">
      <c r="F4729" s="653" t="n"/>
    </row>
    <row r="4730">
      <c r="F4730" s="653" t="n"/>
    </row>
    <row r="4731">
      <c r="F4731" s="653" t="n"/>
    </row>
    <row r="4732">
      <c r="F4732" s="653" t="n"/>
    </row>
    <row r="4733">
      <c r="F4733" s="653" t="n"/>
    </row>
    <row r="4734">
      <c r="F4734" s="653" t="n"/>
    </row>
    <row r="4735">
      <c r="F4735" s="653" t="n"/>
    </row>
    <row r="4736">
      <c r="F4736" s="653" t="n"/>
    </row>
    <row r="4737">
      <c r="F4737" s="653" t="n"/>
    </row>
    <row r="4738">
      <c r="F4738" s="653" t="n"/>
    </row>
    <row r="4739">
      <c r="F4739" s="653" t="n"/>
    </row>
    <row r="4740">
      <c r="F4740" s="653" t="n"/>
    </row>
    <row r="4741">
      <c r="F4741" s="653" t="n"/>
    </row>
    <row r="4742">
      <c r="F4742" s="653" t="n"/>
    </row>
    <row r="4743">
      <c r="F4743" s="653" t="n"/>
    </row>
    <row r="4744">
      <c r="F4744" s="653" t="n"/>
    </row>
    <row r="4745">
      <c r="F4745" s="653" t="n"/>
    </row>
    <row r="4746">
      <c r="F4746" s="653" t="n"/>
    </row>
    <row r="4747">
      <c r="F4747" s="653" t="n"/>
    </row>
    <row r="4748">
      <c r="F4748" s="653" t="n"/>
    </row>
    <row r="4749">
      <c r="F4749" s="653" t="n"/>
    </row>
    <row r="4750">
      <c r="F4750" s="653" t="n"/>
    </row>
    <row r="4751">
      <c r="F4751" s="653" t="n"/>
    </row>
    <row r="4752">
      <c r="F4752" s="653" t="n"/>
    </row>
    <row r="4753">
      <c r="F4753" s="653" t="n"/>
    </row>
    <row r="4754">
      <c r="F4754" s="653" t="n"/>
    </row>
    <row r="4755">
      <c r="F4755" s="653" t="n"/>
    </row>
    <row r="4756">
      <c r="F4756" s="653" t="n"/>
    </row>
    <row r="4757">
      <c r="F4757" s="653" t="n"/>
    </row>
    <row r="4758">
      <c r="F4758" s="653" t="n"/>
    </row>
    <row r="4759">
      <c r="F4759" s="653" t="n"/>
    </row>
    <row r="4760">
      <c r="F4760" s="653" t="n"/>
    </row>
    <row r="4761">
      <c r="F4761" s="653" t="n"/>
    </row>
    <row r="4762">
      <c r="F4762" s="653" t="n"/>
    </row>
    <row r="4763">
      <c r="F4763" s="653" t="n"/>
    </row>
    <row r="4764">
      <c r="F4764" s="653" t="n"/>
    </row>
    <row r="4765">
      <c r="F4765" s="653" t="n"/>
    </row>
    <row r="4766">
      <c r="F4766" s="653" t="n"/>
    </row>
    <row r="4767">
      <c r="F4767" s="653" t="n"/>
    </row>
    <row r="4768">
      <c r="F4768" s="653" t="n"/>
    </row>
    <row r="4769">
      <c r="F4769" s="653" t="n"/>
    </row>
    <row r="4770">
      <c r="F4770" s="653" t="n"/>
    </row>
    <row r="4771">
      <c r="F4771" s="653" t="n"/>
    </row>
    <row r="4772">
      <c r="F4772" s="653" t="n"/>
    </row>
    <row r="4773">
      <c r="F4773" s="653" t="n"/>
    </row>
    <row r="4774">
      <c r="F4774" s="653" t="n"/>
    </row>
    <row r="4775">
      <c r="F4775" s="653" t="n"/>
    </row>
    <row r="4776">
      <c r="F4776" s="653" t="n"/>
    </row>
    <row r="4777">
      <c r="F4777" s="653" t="n"/>
    </row>
    <row r="4778">
      <c r="F4778" s="653" t="n"/>
    </row>
    <row r="4779">
      <c r="F4779" s="653" t="n"/>
    </row>
    <row r="4780">
      <c r="F4780" s="653" t="n"/>
    </row>
    <row r="4781">
      <c r="F4781" s="653" t="n"/>
    </row>
    <row r="4782">
      <c r="F4782" s="653" t="n"/>
    </row>
    <row r="4783">
      <c r="F4783" s="653" t="n"/>
    </row>
    <row r="4784">
      <c r="F4784" s="653" t="n"/>
    </row>
    <row r="4785">
      <c r="F4785" s="653" t="n"/>
    </row>
    <row r="4786">
      <c r="F4786" s="653" t="n"/>
    </row>
    <row r="4787">
      <c r="F4787" s="653" t="n"/>
    </row>
    <row r="4788">
      <c r="F4788" s="653" t="n"/>
    </row>
    <row r="4789">
      <c r="F4789" s="653" t="n"/>
    </row>
    <row r="4790">
      <c r="F4790" s="653" t="n"/>
    </row>
    <row r="4791">
      <c r="F4791" s="653" t="n"/>
    </row>
    <row r="4792">
      <c r="F4792" s="653" t="n"/>
    </row>
    <row r="4793">
      <c r="F4793" s="653" t="n"/>
    </row>
    <row r="4794">
      <c r="F4794" s="653" t="n"/>
    </row>
    <row r="4795">
      <c r="F4795" s="653" t="n"/>
    </row>
    <row r="4796">
      <c r="F4796" s="653" t="n"/>
    </row>
    <row r="4797">
      <c r="F4797" s="653" t="n"/>
    </row>
    <row r="4798">
      <c r="F4798" s="653" t="n"/>
    </row>
    <row r="4799">
      <c r="F4799" s="653" t="n"/>
    </row>
    <row r="4800">
      <c r="F4800" s="653" t="n"/>
    </row>
    <row r="4801">
      <c r="F4801" s="653" t="n"/>
    </row>
    <row r="4802">
      <c r="F4802" s="653" t="n"/>
    </row>
    <row r="4803">
      <c r="F4803" s="653" t="n"/>
    </row>
    <row r="4804">
      <c r="F4804" s="653" t="n"/>
    </row>
    <row r="4805">
      <c r="F4805" s="653" t="n"/>
    </row>
    <row r="4806">
      <c r="F4806" s="653" t="n"/>
    </row>
    <row r="4807">
      <c r="F4807" s="653" t="n"/>
    </row>
    <row r="4808">
      <c r="F4808" s="653" t="n"/>
    </row>
    <row r="4809">
      <c r="F4809" s="653" t="n"/>
    </row>
    <row r="4810">
      <c r="F4810" s="653" t="n"/>
    </row>
    <row r="4811">
      <c r="F4811" s="653" t="n"/>
    </row>
    <row r="4812">
      <c r="F4812" s="653" t="n"/>
    </row>
    <row r="4813">
      <c r="F4813" s="653" t="n"/>
    </row>
    <row r="4814">
      <c r="F4814" s="653" t="n"/>
    </row>
    <row r="4815">
      <c r="F4815" s="653" t="n"/>
    </row>
    <row r="4816">
      <c r="F4816" s="653" t="n"/>
    </row>
    <row r="4817">
      <c r="F4817" s="653" t="n"/>
    </row>
    <row r="4818">
      <c r="F4818" s="653" t="n"/>
    </row>
    <row r="4819">
      <c r="F4819" s="653" t="n"/>
    </row>
    <row r="4820">
      <c r="F4820" s="653" t="n"/>
    </row>
    <row r="4821">
      <c r="F4821" s="653" t="n"/>
    </row>
    <row r="4822">
      <c r="F4822" s="653" t="n"/>
    </row>
    <row r="4823">
      <c r="F4823" s="653" t="n"/>
    </row>
    <row r="4824">
      <c r="F4824" s="653" t="n"/>
    </row>
    <row r="4825">
      <c r="F4825" s="653" t="n"/>
    </row>
    <row r="4826">
      <c r="F4826" s="653" t="n"/>
    </row>
    <row r="4827">
      <c r="F4827" s="653" t="n"/>
    </row>
    <row r="4828">
      <c r="F4828" s="653" t="n"/>
    </row>
    <row r="4829">
      <c r="F4829" s="653" t="n"/>
    </row>
    <row r="4830">
      <c r="F4830" s="653" t="n"/>
    </row>
    <row r="4831">
      <c r="F4831" s="653" t="n"/>
    </row>
    <row r="4832">
      <c r="F4832" s="653" t="n"/>
    </row>
    <row r="4833">
      <c r="F4833" s="653" t="n"/>
    </row>
    <row r="4834">
      <c r="F4834" s="653" t="n"/>
    </row>
    <row r="4835">
      <c r="F4835" s="653" t="n"/>
    </row>
    <row r="4836">
      <c r="F4836" s="653" t="n"/>
    </row>
    <row r="4837">
      <c r="F4837" s="653" t="n"/>
    </row>
    <row r="4838">
      <c r="F4838" s="653" t="n"/>
    </row>
    <row r="4839">
      <c r="F4839" s="653" t="n"/>
    </row>
    <row r="4840">
      <c r="F4840" s="653" t="n"/>
    </row>
    <row r="4841">
      <c r="F4841" s="653" t="n"/>
    </row>
    <row r="4842">
      <c r="F4842" s="653" t="n"/>
    </row>
    <row r="4843">
      <c r="F4843" s="653" t="n"/>
    </row>
    <row r="4844">
      <c r="F4844" s="653" t="n"/>
    </row>
    <row r="4845">
      <c r="F4845" s="653" t="n"/>
    </row>
    <row r="4846">
      <c r="F4846" s="653" t="n"/>
    </row>
    <row r="4847">
      <c r="F4847" s="653" t="n"/>
    </row>
    <row r="4848">
      <c r="F4848" s="653" t="n"/>
    </row>
    <row r="4849">
      <c r="F4849" s="653" t="n"/>
    </row>
    <row r="4850">
      <c r="F4850" s="653" t="n"/>
    </row>
    <row r="4851">
      <c r="F4851" s="653" t="n"/>
    </row>
    <row r="4852">
      <c r="F4852" s="653" t="n"/>
    </row>
    <row r="4853">
      <c r="F4853" s="653" t="n"/>
    </row>
    <row r="4854">
      <c r="F4854" s="653" t="n"/>
    </row>
    <row r="4855">
      <c r="F4855" s="653" t="n"/>
    </row>
    <row r="4856">
      <c r="F4856" s="653" t="n"/>
    </row>
    <row r="4857">
      <c r="F4857" s="653" t="n"/>
    </row>
    <row r="4858">
      <c r="F4858" s="653" t="n"/>
    </row>
    <row r="4859">
      <c r="F4859" s="653" t="n"/>
    </row>
    <row r="4860">
      <c r="F4860" s="653" t="n"/>
    </row>
    <row r="4861">
      <c r="F4861" s="653" t="n"/>
    </row>
    <row r="4862">
      <c r="F4862" s="653" t="n"/>
    </row>
    <row r="4863">
      <c r="F4863" s="653" t="n"/>
    </row>
    <row r="4864">
      <c r="F4864" s="653" t="n"/>
    </row>
    <row r="4865">
      <c r="F4865" s="653" t="n"/>
    </row>
    <row r="4866">
      <c r="F4866" s="653" t="n"/>
    </row>
    <row r="4867">
      <c r="F4867" s="653" t="n"/>
    </row>
    <row r="4868">
      <c r="F4868" s="653" t="n"/>
    </row>
    <row r="4869">
      <c r="F4869" s="653" t="n"/>
    </row>
    <row r="4870">
      <c r="F4870" s="653" t="n"/>
    </row>
    <row r="4871">
      <c r="F4871" s="653" t="n"/>
    </row>
    <row r="4872">
      <c r="F4872" s="653" t="n"/>
    </row>
    <row r="4873">
      <c r="F4873" s="653" t="n"/>
    </row>
    <row r="4874">
      <c r="F4874" s="653" t="n"/>
    </row>
    <row r="4875">
      <c r="F4875" s="653" t="n"/>
    </row>
    <row r="4876">
      <c r="F4876" s="653" t="n"/>
    </row>
    <row r="4877">
      <c r="F4877" s="653" t="n"/>
    </row>
    <row r="4878">
      <c r="F4878" s="653" t="n"/>
    </row>
    <row r="4879">
      <c r="F4879" s="653" t="n"/>
    </row>
    <row r="4880">
      <c r="F4880" s="653" t="n"/>
    </row>
    <row r="4881">
      <c r="F4881" s="653" t="n"/>
    </row>
    <row r="4882">
      <c r="F4882" s="653" t="n"/>
    </row>
    <row r="4883">
      <c r="F4883" s="653" t="n"/>
    </row>
    <row r="4884">
      <c r="F4884" s="653" t="n"/>
    </row>
    <row r="4885">
      <c r="F4885" s="653" t="n"/>
    </row>
    <row r="4886">
      <c r="F4886" s="653" t="n"/>
    </row>
    <row r="4887">
      <c r="F4887" s="653" t="n"/>
    </row>
    <row r="4888">
      <c r="F4888" s="653" t="n"/>
    </row>
    <row r="4889">
      <c r="F4889" s="653" t="n"/>
    </row>
    <row r="4890">
      <c r="F4890" s="653" t="n"/>
    </row>
    <row r="4891">
      <c r="F4891" s="653" t="n"/>
    </row>
    <row r="4892">
      <c r="F4892" s="653" t="n"/>
    </row>
    <row r="4893">
      <c r="F4893" s="653" t="n"/>
    </row>
    <row r="4894">
      <c r="F4894" s="653" t="n"/>
    </row>
    <row r="4895">
      <c r="F4895" s="653" t="n"/>
    </row>
    <row r="4896">
      <c r="F4896" s="653" t="n"/>
    </row>
    <row r="4897">
      <c r="F4897" s="653" t="n"/>
    </row>
    <row r="4898">
      <c r="F4898" s="653" t="n"/>
    </row>
    <row r="4899">
      <c r="F4899" s="653" t="n"/>
    </row>
    <row r="4900">
      <c r="F4900" s="653" t="n"/>
    </row>
    <row r="4901">
      <c r="F4901" s="653" t="n"/>
    </row>
    <row r="4902">
      <c r="F4902" s="653" t="n"/>
    </row>
    <row r="4903">
      <c r="F4903" s="653" t="n"/>
    </row>
    <row r="4904">
      <c r="F4904" s="653" t="n"/>
    </row>
    <row r="4905">
      <c r="F4905" s="653" t="n"/>
    </row>
    <row r="4906">
      <c r="F4906" s="653" t="n"/>
    </row>
    <row r="4907">
      <c r="F4907" s="653" t="n"/>
    </row>
    <row r="4908">
      <c r="F4908" s="653" t="n"/>
    </row>
    <row r="4909">
      <c r="F4909" s="653" t="n"/>
    </row>
    <row r="4910">
      <c r="F4910" s="653" t="n"/>
    </row>
    <row r="4911">
      <c r="F4911" s="653" t="n"/>
    </row>
    <row r="4912">
      <c r="F4912" s="653" t="n"/>
    </row>
    <row r="4913">
      <c r="F4913" s="653" t="n"/>
    </row>
    <row r="4914">
      <c r="F4914" s="653" t="n"/>
    </row>
    <row r="4915">
      <c r="F4915" s="653" t="n"/>
    </row>
    <row r="4916">
      <c r="F4916" s="653" t="n"/>
    </row>
    <row r="4917">
      <c r="F4917" s="653" t="n"/>
    </row>
    <row r="4918">
      <c r="F4918" s="653" t="n"/>
    </row>
    <row r="4919">
      <c r="F4919" s="653" t="n"/>
    </row>
    <row r="4920">
      <c r="F4920" s="653" t="n"/>
    </row>
    <row r="4921">
      <c r="F4921" s="653" t="n"/>
    </row>
    <row r="4922">
      <c r="F4922" s="653" t="n"/>
    </row>
    <row r="4923">
      <c r="F4923" s="653" t="n"/>
    </row>
    <row r="4924">
      <c r="F4924" s="653" t="n"/>
    </row>
    <row r="4925">
      <c r="F4925" s="653" t="n"/>
    </row>
    <row r="4926">
      <c r="F4926" s="653" t="n"/>
    </row>
    <row r="4927">
      <c r="F4927" s="653" t="n"/>
    </row>
    <row r="4928">
      <c r="F4928" s="653" t="n"/>
    </row>
    <row r="4929">
      <c r="F4929" s="653" t="n"/>
    </row>
    <row r="4930">
      <c r="F4930" s="653" t="n"/>
    </row>
    <row r="4931">
      <c r="F4931" s="653" t="n"/>
    </row>
    <row r="4932">
      <c r="F4932" s="653" t="n"/>
    </row>
    <row r="4933">
      <c r="F4933" s="653" t="n"/>
    </row>
    <row r="4934">
      <c r="F4934" s="653" t="n"/>
    </row>
    <row r="4935">
      <c r="F4935" s="653" t="n"/>
    </row>
    <row r="4936">
      <c r="F4936" s="653" t="n"/>
    </row>
    <row r="4937">
      <c r="F4937" s="653" t="n"/>
    </row>
    <row r="4938">
      <c r="F4938" s="653" t="n"/>
    </row>
    <row r="4939">
      <c r="F4939" s="653" t="n"/>
    </row>
    <row r="4940">
      <c r="F4940" s="653" t="n"/>
    </row>
    <row r="4941">
      <c r="F4941" s="653" t="n"/>
    </row>
    <row r="4942">
      <c r="F4942" s="653" t="n"/>
    </row>
    <row r="4943">
      <c r="F4943" s="653" t="n"/>
    </row>
    <row r="4944">
      <c r="F4944" s="653" t="n"/>
    </row>
    <row r="4945">
      <c r="F4945" s="653" t="n"/>
    </row>
    <row r="4946">
      <c r="F4946" s="653" t="n"/>
    </row>
    <row r="4947">
      <c r="F4947" s="653" t="n"/>
    </row>
    <row r="4948">
      <c r="F4948" s="653" t="n"/>
    </row>
    <row r="4949">
      <c r="F4949" s="653" t="n"/>
    </row>
    <row r="4950">
      <c r="F4950" s="653" t="n"/>
    </row>
    <row r="4951">
      <c r="F4951" s="653" t="n"/>
    </row>
    <row r="4952">
      <c r="F4952" s="653" t="n"/>
    </row>
    <row r="4953">
      <c r="F4953" s="653" t="n"/>
    </row>
    <row r="4954">
      <c r="F4954" s="653" t="n"/>
    </row>
    <row r="4955">
      <c r="F4955" s="653" t="n"/>
    </row>
    <row r="4956">
      <c r="F4956" s="653" t="n"/>
    </row>
    <row r="4957">
      <c r="F4957" s="653" t="n"/>
    </row>
    <row r="4958">
      <c r="F4958" s="653" t="n"/>
    </row>
    <row r="4959">
      <c r="F4959" s="653" t="n"/>
    </row>
    <row r="4960">
      <c r="F4960" s="653" t="n"/>
    </row>
    <row r="4961">
      <c r="F4961" s="653" t="n"/>
    </row>
    <row r="4962">
      <c r="F4962" s="653" t="n"/>
    </row>
    <row r="4963">
      <c r="F4963" s="653" t="n"/>
    </row>
    <row r="4964">
      <c r="F4964" s="653" t="n"/>
    </row>
    <row r="4965">
      <c r="F4965" s="653" t="n"/>
    </row>
    <row r="4966">
      <c r="F4966" s="653" t="n"/>
    </row>
    <row r="4967">
      <c r="F4967" s="653" t="n"/>
    </row>
    <row r="4968">
      <c r="F4968" s="653" t="n"/>
    </row>
    <row r="4969">
      <c r="F4969" s="653" t="n"/>
    </row>
    <row r="4970">
      <c r="F4970" s="653" t="n"/>
    </row>
    <row r="4971">
      <c r="F4971" s="653" t="n"/>
    </row>
    <row r="4972">
      <c r="F4972" s="653" t="n"/>
    </row>
    <row r="4973">
      <c r="F4973" s="653" t="n"/>
    </row>
    <row r="4974">
      <c r="F4974" s="653" t="n"/>
    </row>
    <row r="4975">
      <c r="F4975" s="653" t="n"/>
    </row>
    <row r="4976">
      <c r="F4976" s="653" t="n"/>
    </row>
    <row r="4977">
      <c r="F4977" s="653" t="n"/>
    </row>
    <row r="4978">
      <c r="F4978" s="653" t="n"/>
    </row>
    <row r="4979">
      <c r="F4979" s="653" t="n"/>
    </row>
    <row r="4980">
      <c r="F4980" s="653" t="n"/>
    </row>
    <row r="4981">
      <c r="F4981" s="653" t="n"/>
    </row>
    <row r="4982">
      <c r="F4982" s="653" t="n"/>
    </row>
    <row r="4983">
      <c r="F4983" s="653" t="n"/>
    </row>
    <row r="4984">
      <c r="F4984" s="653" t="n"/>
    </row>
    <row r="4985">
      <c r="F4985" s="653" t="n"/>
    </row>
    <row r="4986">
      <c r="F4986" s="653" t="n"/>
    </row>
    <row r="4987">
      <c r="F4987" s="653" t="n"/>
    </row>
    <row r="4988">
      <c r="F4988" s="653" t="n"/>
    </row>
    <row r="4989">
      <c r="F4989" s="653" t="n"/>
    </row>
    <row r="4990">
      <c r="F4990" s="653" t="n"/>
    </row>
    <row r="4991">
      <c r="F4991" s="653" t="n"/>
    </row>
    <row r="4992">
      <c r="F4992" s="653" t="n"/>
    </row>
    <row r="4993">
      <c r="F4993" s="653" t="n"/>
    </row>
    <row r="4994">
      <c r="F4994" s="653" t="n"/>
    </row>
    <row r="4995">
      <c r="F4995" s="653" t="n"/>
    </row>
    <row r="4996">
      <c r="F4996" s="653" t="n"/>
    </row>
    <row r="4997">
      <c r="F4997" s="653" t="n"/>
    </row>
    <row r="4998">
      <c r="F4998" s="653" t="n"/>
    </row>
    <row r="4999">
      <c r="F4999" s="653" t="n"/>
    </row>
    <row r="5000">
      <c r="F5000" s="653" t="n"/>
    </row>
    <row r="5001">
      <c r="F5001" s="653" t="n"/>
    </row>
    <row r="5002">
      <c r="F5002" s="653" t="n"/>
    </row>
    <row r="5003">
      <c r="F5003" s="653" t="n"/>
    </row>
    <row r="5004">
      <c r="F5004" s="653" t="n"/>
    </row>
    <row r="5005">
      <c r="F5005" s="653" t="n"/>
    </row>
    <row r="5006">
      <c r="F5006" s="653" t="n"/>
    </row>
    <row r="5007">
      <c r="F5007" s="653" t="n"/>
    </row>
    <row r="5008">
      <c r="F5008" s="653" t="n"/>
    </row>
    <row r="5009">
      <c r="F5009" s="653" t="n"/>
    </row>
    <row r="5010">
      <c r="F5010" s="653" t="n"/>
    </row>
    <row r="5011">
      <c r="F5011" s="653" t="n"/>
    </row>
    <row r="5012">
      <c r="F5012" s="653" t="n"/>
    </row>
    <row r="5013">
      <c r="F5013" s="653" t="n"/>
    </row>
    <row r="5014">
      <c r="F5014" s="653" t="n"/>
    </row>
    <row r="5015">
      <c r="F5015" s="653" t="n"/>
    </row>
    <row r="5016">
      <c r="F5016" s="653" t="n"/>
    </row>
    <row r="5017">
      <c r="F5017" s="653" t="n"/>
    </row>
    <row r="5018">
      <c r="F5018" s="653" t="n"/>
    </row>
    <row r="5019">
      <c r="F5019" s="653" t="n"/>
    </row>
    <row r="5020">
      <c r="F5020" s="653" t="n"/>
    </row>
    <row r="5021">
      <c r="F5021" s="653" t="n"/>
    </row>
    <row r="5022">
      <c r="F5022" s="653" t="n"/>
    </row>
    <row r="5023">
      <c r="F5023" s="653" t="n"/>
    </row>
    <row r="5024">
      <c r="F5024" s="653" t="n"/>
    </row>
    <row r="5025">
      <c r="F5025" s="653" t="n"/>
    </row>
    <row r="5026">
      <c r="F5026" s="653" t="n"/>
    </row>
    <row r="5027">
      <c r="F5027" s="653" t="n"/>
    </row>
    <row r="5028">
      <c r="F5028" s="653" t="n"/>
    </row>
    <row r="5029">
      <c r="F5029" s="653" t="n"/>
    </row>
    <row r="5030">
      <c r="F5030" s="653" t="n"/>
    </row>
    <row r="5031">
      <c r="F5031" s="653" t="n"/>
    </row>
    <row r="5032">
      <c r="F5032" s="653" t="n"/>
    </row>
    <row r="5033">
      <c r="F5033" s="653" t="n"/>
    </row>
    <row r="5034">
      <c r="F5034" s="653" t="n"/>
    </row>
    <row r="5035">
      <c r="F5035" s="653" t="n"/>
    </row>
    <row r="5036">
      <c r="F5036" s="653" t="n"/>
    </row>
    <row r="5037">
      <c r="F5037" s="653" t="n"/>
    </row>
    <row r="5038">
      <c r="F5038" s="653" t="n"/>
    </row>
    <row r="5039">
      <c r="F5039" s="653" t="n"/>
    </row>
    <row r="5040">
      <c r="F5040" s="653" t="n"/>
    </row>
    <row r="5041">
      <c r="F5041" s="653" t="n"/>
    </row>
    <row r="5042">
      <c r="F5042" s="653" t="n"/>
    </row>
    <row r="5043">
      <c r="F5043" s="653" t="n"/>
    </row>
    <row r="5044">
      <c r="F5044" s="653" t="n"/>
    </row>
    <row r="5045">
      <c r="F5045" s="653" t="n"/>
    </row>
    <row r="5046">
      <c r="F5046" s="653" t="n"/>
    </row>
    <row r="5047">
      <c r="F5047" s="653" t="n"/>
    </row>
    <row r="5048">
      <c r="F5048" s="653" t="n"/>
    </row>
    <row r="5049">
      <c r="F5049" s="653" t="n"/>
    </row>
    <row r="5050">
      <c r="F5050" s="653" t="n"/>
    </row>
    <row r="5051">
      <c r="F5051" s="653" t="n"/>
    </row>
    <row r="5052">
      <c r="F5052" s="653" t="n"/>
    </row>
    <row r="5053">
      <c r="F5053" s="653" t="n"/>
    </row>
    <row r="5054">
      <c r="F5054" s="653" t="n"/>
    </row>
    <row r="5055">
      <c r="F5055" s="653" t="n"/>
    </row>
    <row r="5056">
      <c r="F5056" s="653" t="n"/>
    </row>
    <row r="5057">
      <c r="F5057" s="653" t="n"/>
    </row>
    <row r="5058">
      <c r="F5058" s="653" t="n"/>
    </row>
    <row r="5059">
      <c r="F5059" s="653" t="n"/>
    </row>
    <row r="5060">
      <c r="F5060" s="653" t="n"/>
    </row>
    <row r="5061">
      <c r="F5061" s="653" t="n"/>
    </row>
    <row r="5062">
      <c r="F5062" s="653" t="n"/>
    </row>
    <row r="5063">
      <c r="F5063" s="653" t="n"/>
    </row>
    <row r="5064">
      <c r="F5064" s="653" t="n"/>
    </row>
    <row r="5065">
      <c r="F5065" s="653" t="n"/>
    </row>
    <row r="5066">
      <c r="F5066" s="653" t="n"/>
    </row>
    <row r="5067">
      <c r="F5067" s="653" t="n"/>
    </row>
    <row r="5068">
      <c r="F5068" s="653" t="n"/>
    </row>
    <row r="5069">
      <c r="F5069" s="653" t="n"/>
    </row>
    <row r="5070">
      <c r="F5070" s="653" t="n"/>
    </row>
    <row r="5071">
      <c r="F5071" s="653" t="n"/>
    </row>
    <row r="5072">
      <c r="F5072" s="653" t="n"/>
    </row>
    <row r="5073">
      <c r="F5073" s="653" t="n"/>
    </row>
    <row r="5074">
      <c r="F5074" s="653" t="n"/>
    </row>
    <row r="5075">
      <c r="F5075" s="653" t="n"/>
    </row>
    <row r="5076">
      <c r="F5076" s="653" t="n"/>
    </row>
    <row r="5077">
      <c r="F5077" s="653" t="n"/>
    </row>
    <row r="5078">
      <c r="F5078" s="653" t="n"/>
    </row>
    <row r="5079">
      <c r="F5079" s="653" t="n"/>
    </row>
    <row r="5080">
      <c r="F5080" s="653" t="n"/>
    </row>
    <row r="5081">
      <c r="F5081" s="653" t="n"/>
    </row>
    <row r="5082">
      <c r="F5082" s="653" t="n"/>
    </row>
    <row r="5083">
      <c r="F5083" s="653" t="n"/>
    </row>
    <row r="5084">
      <c r="F5084" s="653" t="n"/>
    </row>
    <row r="5085">
      <c r="F5085" s="653" t="n"/>
    </row>
    <row r="5086">
      <c r="F5086" s="653" t="n"/>
    </row>
    <row r="5087">
      <c r="F5087" s="653" t="n"/>
    </row>
    <row r="5088">
      <c r="F5088" s="653" t="n"/>
    </row>
    <row r="5089">
      <c r="F5089" s="653" t="n"/>
    </row>
    <row r="5090">
      <c r="F5090" s="653" t="n"/>
    </row>
    <row r="5091">
      <c r="F5091" s="653" t="n"/>
    </row>
    <row r="5092">
      <c r="F5092" s="653" t="n"/>
    </row>
    <row r="5093">
      <c r="F5093" s="653" t="n"/>
    </row>
    <row r="5094">
      <c r="F5094" s="653" t="n"/>
    </row>
    <row r="5095">
      <c r="F5095" s="653" t="n"/>
    </row>
    <row r="5096">
      <c r="F5096" s="653" t="n"/>
    </row>
    <row r="5097">
      <c r="F5097" s="653" t="n"/>
    </row>
    <row r="5098">
      <c r="F5098" s="653" t="n"/>
    </row>
    <row r="5099">
      <c r="F5099" s="653" t="n"/>
    </row>
    <row r="5100">
      <c r="F5100" s="653" t="n"/>
    </row>
    <row r="5101">
      <c r="F5101" s="653" t="n"/>
    </row>
    <row r="5102">
      <c r="F5102" s="653" t="n"/>
    </row>
    <row r="5103">
      <c r="F5103" s="653" t="n"/>
    </row>
    <row r="5104">
      <c r="F5104" s="653" t="n"/>
    </row>
    <row r="5105">
      <c r="F5105" s="653" t="n"/>
    </row>
    <row r="5106">
      <c r="F5106" s="653" t="n"/>
    </row>
    <row r="5107">
      <c r="F5107" s="653" t="n"/>
    </row>
    <row r="5108">
      <c r="F5108" s="653" t="n"/>
    </row>
    <row r="5109">
      <c r="F5109" s="653" t="n"/>
    </row>
    <row r="5110">
      <c r="F5110" s="653" t="n"/>
    </row>
    <row r="5111">
      <c r="F5111" s="653" t="n"/>
    </row>
    <row r="5112">
      <c r="F5112" s="653" t="n"/>
    </row>
    <row r="5113">
      <c r="F5113" s="653" t="n"/>
    </row>
    <row r="5114">
      <c r="F5114" s="653" t="n"/>
    </row>
    <row r="5115">
      <c r="F5115" s="653" t="n"/>
    </row>
    <row r="5116">
      <c r="F5116" s="653" t="n"/>
    </row>
    <row r="5117">
      <c r="F5117" s="653" t="n"/>
    </row>
    <row r="5118">
      <c r="F5118" s="653" t="n"/>
    </row>
    <row r="5119">
      <c r="F5119" s="653" t="n"/>
    </row>
    <row r="5120">
      <c r="F5120" s="653" t="n"/>
    </row>
    <row r="5121">
      <c r="F5121" s="653" t="n"/>
    </row>
    <row r="5122">
      <c r="F5122" s="653" t="n"/>
    </row>
    <row r="5123">
      <c r="F5123" s="653" t="n"/>
    </row>
    <row r="5124">
      <c r="F5124" s="653" t="n"/>
    </row>
    <row r="5125">
      <c r="F5125" s="653" t="n"/>
    </row>
    <row r="5126">
      <c r="F5126" s="653" t="n"/>
    </row>
    <row r="5127">
      <c r="F5127" s="653" t="n"/>
    </row>
    <row r="5128">
      <c r="F5128" s="653" t="n"/>
    </row>
    <row r="5129">
      <c r="F5129" s="653" t="n"/>
    </row>
    <row r="5130">
      <c r="F5130" s="653" t="n"/>
    </row>
    <row r="5131">
      <c r="F5131" s="653" t="n"/>
    </row>
    <row r="5132">
      <c r="F5132" s="653" t="n"/>
    </row>
    <row r="5133">
      <c r="F5133" s="653" t="n"/>
    </row>
    <row r="5134">
      <c r="F5134" s="653" t="n"/>
    </row>
    <row r="5135">
      <c r="F5135" s="653" t="n"/>
    </row>
    <row r="5136">
      <c r="F5136" s="653" t="n"/>
    </row>
    <row r="5137">
      <c r="F5137" s="653" t="n"/>
    </row>
    <row r="5138">
      <c r="F5138" s="653" t="n"/>
    </row>
    <row r="5139">
      <c r="F5139" s="653" t="n"/>
    </row>
    <row r="5140">
      <c r="F5140" s="653" t="n"/>
    </row>
    <row r="5141">
      <c r="F5141" s="653" t="n"/>
    </row>
    <row r="5142">
      <c r="F5142" s="653" t="n"/>
    </row>
    <row r="5143">
      <c r="F5143" s="653" t="n"/>
    </row>
    <row r="5144">
      <c r="F5144" s="653" t="n"/>
    </row>
    <row r="5145">
      <c r="F5145" s="653" t="n"/>
    </row>
    <row r="5146">
      <c r="F5146" s="653" t="n"/>
    </row>
    <row r="5147">
      <c r="F5147" s="653" t="n"/>
    </row>
    <row r="5148">
      <c r="F5148" s="653" t="n"/>
    </row>
    <row r="5149">
      <c r="F5149" s="653" t="n"/>
    </row>
    <row r="5150">
      <c r="F5150" s="653" t="n"/>
    </row>
    <row r="5151">
      <c r="F5151" s="653" t="n"/>
    </row>
    <row r="5152">
      <c r="F5152" s="653" t="n"/>
    </row>
    <row r="5153">
      <c r="F5153" s="653" t="n"/>
    </row>
    <row r="5154">
      <c r="F5154" s="653" t="n"/>
    </row>
    <row r="5155">
      <c r="F5155" s="653" t="n"/>
    </row>
    <row r="5156">
      <c r="F5156" s="653" t="n"/>
    </row>
    <row r="5157">
      <c r="F5157" s="653" t="n"/>
    </row>
    <row r="5158">
      <c r="F5158" s="653" t="n"/>
    </row>
    <row r="5159">
      <c r="F5159" s="653" t="n"/>
    </row>
    <row r="5160">
      <c r="F5160" s="653" t="n"/>
    </row>
    <row r="5161">
      <c r="F5161" s="653" t="n"/>
    </row>
    <row r="5162">
      <c r="F5162" s="653" t="n"/>
    </row>
    <row r="5163">
      <c r="F5163" s="653" t="n"/>
    </row>
    <row r="5164">
      <c r="F5164" s="653" t="n"/>
    </row>
    <row r="5165">
      <c r="F5165" s="653" t="n"/>
    </row>
    <row r="5166">
      <c r="F5166" s="653" t="n"/>
    </row>
    <row r="5167">
      <c r="F5167" s="653" t="n"/>
    </row>
    <row r="5168">
      <c r="F5168" s="653" t="n"/>
    </row>
    <row r="5169">
      <c r="F5169" s="653" t="n"/>
    </row>
    <row r="5170">
      <c r="F5170" s="653" t="n"/>
    </row>
    <row r="5171">
      <c r="F5171" s="653" t="n"/>
    </row>
    <row r="5172">
      <c r="F5172" s="653" t="n"/>
    </row>
    <row r="5173">
      <c r="F5173" s="653" t="n"/>
    </row>
    <row r="5174">
      <c r="F5174" s="653" t="n"/>
    </row>
    <row r="5175">
      <c r="F5175" s="653" t="n"/>
    </row>
    <row r="5176">
      <c r="F5176" s="653" t="n"/>
    </row>
    <row r="5177">
      <c r="F5177" s="653" t="n"/>
    </row>
    <row r="5178">
      <c r="F5178" s="653" t="n"/>
    </row>
    <row r="5179">
      <c r="F5179" s="653" t="n"/>
    </row>
    <row r="5180">
      <c r="F5180" s="653" t="n"/>
    </row>
    <row r="5181">
      <c r="F5181" s="653" t="n"/>
    </row>
    <row r="5182">
      <c r="F5182" s="653" t="n"/>
    </row>
    <row r="5183">
      <c r="F5183" s="653" t="n"/>
    </row>
    <row r="5184">
      <c r="F5184" s="653" t="n"/>
    </row>
    <row r="5185">
      <c r="F5185" s="653" t="n"/>
    </row>
    <row r="5186">
      <c r="F5186" s="653" t="n"/>
    </row>
    <row r="5187">
      <c r="F5187" s="653" t="n"/>
    </row>
    <row r="5188">
      <c r="F5188" s="653" t="n"/>
    </row>
    <row r="5189">
      <c r="F5189" s="653" t="n"/>
    </row>
    <row r="5190">
      <c r="F5190" s="653" t="n"/>
    </row>
    <row r="5191">
      <c r="F5191" s="653" t="n"/>
    </row>
    <row r="5192">
      <c r="F5192" s="653" t="n"/>
    </row>
    <row r="5193">
      <c r="F5193" s="653" t="n"/>
    </row>
    <row r="5194">
      <c r="F5194" s="653" t="n"/>
    </row>
    <row r="5195">
      <c r="F5195" s="653" t="n"/>
    </row>
    <row r="5196">
      <c r="F5196" s="653" t="n"/>
    </row>
    <row r="5197">
      <c r="F5197" s="653" t="n"/>
    </row>
    <row r="5198">
      <c r="F5198" s="653" t="n"/>
    </row>
    <row r="5199">
      <c r="F5199" s="653" t="n"/>
    </row>
    <row r="5200">
      <c r="F5200" s="653" t="n"/>
    </row>
    <row r="5201">
      <c r="F5201" s="653" t="n"/>
    </row>
    <row r="5202">
      <c r="F5202" s="653" t="n"/>
    </row>
    <row r="5203">
      <c r="F5203" s="653" t="n"/>
    </row>
    <row r="5204">
      <c r="F5204" s="653" t="n"/>
    </row>
    <row r="5205">
      <c r="F5205" s="653" t="n"/>
    </row>
    <row r="5206">
      <c r="F5206" s="653" t="n"/>
    </row>
    <row r="5207">
      <c r="F5207" s="653" t="n"/>
    </row>
    <row r="5208">
      <c r="F5208" s="653" t="n"/>
    </row>
    <row r="5209">
      <c r="F5209" s="653" t="n"/>
    </row>
    <row r="5210">
      <c r="F5210" s="653" t="n"/>
    </row>
    <row r="5211">
      <c r="F5211" s="653" t="n"/>
    </row>
    <row r="5212">
      <c r="F5212" s="653" t="n"/>
    </row>
    <row r="5213">
      <c r="F5213" s="653" t="n"/>
    </row>
    <row r="5214">
      <c r="F5214" s="653" t="n"/>
    </row>
    <row r="5215">
      <c r="F5215" s="653" t="n"/>
    </row>
    <row r="5216">
      <c r="F5216" s="653" t="n"/>
    </row>
    <row r="5217">
      <c r="F5217" s="653" t="n"/>
    </row>
    <row r="5218">
      <c r="F5218" s="653" t="n"/>
    </row>
    <row r="5219">
      <c r="F5219" s="653" t="n"/>
    </row>
    <row r="5220">
      <c r="F5220" s="653" t="n"/>
    </row>
    <row r="5221">
      <c r="F5221" s="653" t="n"/>
    </row>
    <row r="5222">
      <c r="F5222" s="653" t="n"/>
    </row>
    <row r="5223">
      <c r="F5223" s="653" t="n"/>
    </row>
    <row r="5224">
      <c r="F5224" s="653" t="n"/>
    </row>
    <row r="5225">
      <c r="F5225" s="653" t="n"/>
    </row>
    <row r="5226">
      <c r="F5226" s="653" t="n"/>
    </row>
    <row r="5227">
      <c r="F5227" s="653" t="n"/>
    </row>
    <row r="5228">
      <c r="F5228" s="653" t="n"/>
    </row>
    <row r="5229">
      <c r="F5229" s="653" t="n"/>
    </row>
    <row r="5230">
      <c r="F5230" s="653" t="n"/>
    </row>
    <row r="5231">
      <c r="F5231" s="653" t="n"/>
    </row>
    <row r="5232">
      <c r="F5232" s="653" t="n"/>
    </row>
    <row r="5233">
      <c r="F5233" s="653" t="n"/>
    </row>
    <row r="5234">
      <c r="F5234" s="653" t="n"/>
    </row>
    <row r="5235">
      <c r="F5235" s="653" t="n"/>
    </row>
    <row r="5236">
      <c r="F5236" s="653" t="n"/>
    </row>
    <row r="5237">
      <c r="F5237" s="653" t="n"/>
    </row>
    <row r="5238">
      <c r="F5238" s="653" t="n"/>
    </row>
    <row r="5239">
      <c r="F5239" s="653" t="n"/>
    </row>
    <row r="5240">
      <c r="F5240" s="653" t="n"/>
    </row>
    <row r="5241">
      <c r="F5241" s="653" t="n"/>
    </row>
    <row r="5242">
      <c r="F5242" s="653" t="n"/>
    </row>
    <row r="5243">
      <c r="F5243" s="653" t="n"/>
    </row>
    <row r="5244">
      <c r="F5244" s="653" t="n"/>
    </row>
    <row r="5245">
      <c r="F5245" s="653" t="n"/>
    </row>
    <row r="5246">
      <c r="F5246" s="653" t="n"/>
    </row>
    <row r="5247">
      <c r="F5247" s="653" t="n"/>
    </row>
    <row r="5248">
      <c r="F5248" s="653" t="n"/>
    </row>
    <row r="5249">
      <c r="F5249" s="653" t="n"/>
    </row>
    <row r="5250">
      <c r="F5250" s="653" t="n"/>
    </row>
    <row r="5251">
      <c r="F5251" s="653" t="n"/>
    </row>
    <row r="5252">
      <c r="F5252" s="653" t="n"/>
    </row>
    <row r="5253">
      <c r="F5253" s="653" t="n"/>
    </row>
    <row r="5254">
      <c r="F5254" s="653" t="n"/>
    </row>
    <row r="5255">
      <c r="F5255" s="653" t="n"/>
    </row>
    <row r="5256">
      <c r="F5256" s="653" t="n"/>
    </row>
    <row r="5257">
      <c r="F5257" s="653" t="n"/>
    </row>
    <row r="5258">
      <c r="F5258" s="653" t="n"/>
    </row>
    <row r="5259">
      <c r="F5259" s="653" t="n"/>
    </row>
    <row r="5260">
      <c r="F5260" s="653" t="n"/>
    </row>
    <row r="5261">
      <c r="F5261" s="653" t="n"/>
    </row>
    <row r="5262">
      <c r="F5262" s="653" t="n"/>
    </row>
    <row r="5263">
      <c r="F5263" s="653" t="n"/>
    </row>
    <row r="5264">
      <c r="F5264" s="653" t="n"/>
    </row>
    <row r="5265">
      <c r="F5265" s="653" t="n"/>
    </row>
    <row r="5266">
      <c r="F5266" s="653" t="n"/>
    </row>
    <row r="5267">
      <c r="F5267" s="653" t="n"/>
    </row>
    <row r="5268">
      <c r="F5268" s="653" t="n"/>
    </row>
    <row r="5269">
      <c r="F5269" s="653" t="n"/>
    </row>
    <row r="5270">
      <c r="F5270" s="653" t="n"/>
    </row>
    <row r="5271">
      <c r="F5271" s="653" t="n"/>
    </row>
    <row r="5272">
      <c r="F5272" s="653" t="n"/>
    </row>
    <row r="5273">
      <c r="F5273" s="653" t="n"/>
    </row>
    <row r="5274">
      <c r="F5274" s="653" t="n"/>
    </row>
    <row r="5275">
      <c r="F5275" s="653" t="n"/>
    </row>
    <row r="5276">
      <c r="F5276" s="653" t="n"/>
    </row>
    <row r="5277">
      <c r="F5277" s="653" t="n"/>
    </row>
    <row r="5278">
      <c r="F5278" s="653" t="n"/>
    </row>
    <row r="5279">
      <c r="F5279" s="653" t="n"/>
    </row>
    <row r="5280">
      <c r="F5280" s="653" t="n"/>
    </row>
    <row r="5281">
      <c r="F5281" s="653" t="n"/>
    </row>
    <row r="5282">
      <c r="F5282" s="653" t="n"/>
    </row>
    <row r="5283">
      <c r="F5283" s="653" t="n"/>
    </row>
    <row r="5284">
      <c r="F5284" s="653" t="n"/>
    </row>
    <row r="5285">
      <c r="F5285" s="653" t="n"/>
    </row>
    <row r="5286">
      <c r="F5286" s="653" t="n"/>
    </row>
    <row r="5287">
      <c r="F5287" s="653" t="n"/>
    </row>
    <row r="5288">
      <c r="F5288" s="653" t="n"/>
    </row>
    <row r="5289">
      <c r="F5289" s="653" t="n"/>
    </row>
    <row r="5290">
      <c r="F5290" s="653" t="n"/>
    </row>
    <row r="5291">
      <c r="F5291" s="653" t="n"/>
    </row>
    <row r="5292">
      <c r="F5292" s="653" t="n"/>
    </row>
    <row r="5293">
      <c r="F5293" s="653" t="n"/>
    </row>
    <row r="5294">
      <c r="F5294" s="653" t="n"/>
    </row>
    <row r="5295">
      <c r="F5295" s="653" t="n"/>
    </row>
    <row r="5296">
      <c r="F5296" s="653" t="n"/>
    </row>
    <row r="5297">
      <c r="F5297" s="653" t="n"/>
    </row>
    <row r="5298">
      <c r="F5298" s="653" t="n"/>
    </row>
    <row r="5299">
      <c r="F5299" s="653" t="n"/>
    </row>
    <row r="5300">
      <c r="F5300" s="653" t="n"/>
    </row>
    <row r="5301">
      <c r="F5301" s="653" t="n"/>
    </row>
    <row r="5302">
      <c r="F5302" s="653" t="n"/>
    </row>
    <row r="5303">
      <c r="F5303" s="653" t="n"/>
    </row>
    <row r="5304">
      <c r="F5304" s="653" t="n"/>
    </row>
    <row r="5305">
      <c r="F5305" s="653" t="n"/>
    </row>
    <row r="5306">
      <c r="F5306" s="653" t="n"/>
    </row>
    <row r="5307">
      <c r="F5307" s="653" t="n"/>
    </row>
    <row r="5308">
      <c r="F5308" s="653" t="n"/>
    </row>
    <row r="5309">
      <c r="F5309" s="653" t="n"/>
    </row>
    <row r="5310">
      <c r="F5310" s="653" t="n"/>
    </row>
    <row r="5311">
      <c r="F5311" s="653" t="n"/>
    </row>
    <row r="5312">
      <c r="F5312" s="653" t="n"/>
    </row>
    <row r="5313">
      <c r="F5313" s="653" t="n"/>
    </row>
    <row r="5314">
      <c r="F5314" s="653" t="n"/>
    </row>
    <row r="5315">
      <c r="F5315" s="653" t="n"/>
    </row>
    <row r="5316">
      <c r="F5316" s="653" t="n"/>
    </row>
    <row r="5317">
      <c r="F5317" s="653" t="n"/>
    </row>
    <row r="5318">
      <c r="F5318" s="653" t="n"/>
    </row>
    <row r="5319">
      <c r="F5319" s="653" t="n"/>
    </row>
    <row r="5320">
      <c r="F5320" s="653" t="n"/>
    </row>
    <row r="5321">
      <c r="F5321" s="653" t="n"/>
    </row>
    <row r="5322">
      <c r="F5322" s="653" t="n"/>
    </row>
    <row r="5323">
      <c r="F5323" s="653" t="n"/>
    </row>
    <row r="5324">
      <c r="F5324" s="653" t="n"/>
    </row>
    <row r="5325">
      <c r="F5325" s="653" t="n"/>
    </row>
    <row r="5326">
      <c r="F5326" s="653" t="n"/>
    </row>
    <row r="5327">
      <c r="F5327" s="653" t="n"/>
    </row>
    <row r="5328">
      <c r="F5328" s="653" t="n"/>
    </row>
    <row r="5329">
      <c r="F5329" s="653" t="n"/>
    </row>
    <row r="5330">
      <c r="F5330" s="653" t="n"/>
    </row>
    <row r="5331">
      <c r="F5331" s="653" t="n"/>
    </row>
    <row r="5332">
      <c r="F5332" s="653" t="n"/>
    </row>
    <row r="5333">
      <c r="F5333" s="653" t="n"/>
    </row>
    <row r="5334">
      <c r="F5334" s="653" t="n"/>
    </row>
    <row r="5335">
      <c r="F5335" s="653" t="n"/>
    </row>
    <row r="5336">
      <c r="F5336" s="653" t="n"/>
    </row>
    <row r="5337">
      <c r="F5337" s="653" t="n"/>
    </row>
    <row r="5338">
      <c r="F5338" s="653" t="n"/>
    </row>
    <row r="5339">
      <c r="F5339" s="653" t="n"/>
    </row>
    <row r="5340">
      <c r="F5340" s="653" t="n"/>
    </row>
    <row r="5341">
      <c r="F5341" s="653" t="n"/>
    </row>
    <row r="5342">
      <c r="F5342" s="653" t="n"/>
    </row>
    <row r="5343">
      <c r="F5343" s="653" t="n"/>
    </row>
    <row r="5344">
      <c r="F5344" s="653" t="n"/>
    </row>
    <row r="5345">
      <c r="F5345" s="653" t="n"/>
    </row>
    <row r="5346">
      <c r="F5346" s="653" t="n"/>
    </row>
    <row r="5347">
      <c r="F5347" s="653" t="n"/>
    </row>
    <row r="5348">
      <c r="F5348" s="653" t="n"/>
    </row>
    <row r="5349">
      <c r="F5349" s="653" t="n"/>
    </row>
    <row r="5350">
      <c r="F5350" s="653" t="n"/>
    </row>
    <row r="5351">
      <c r="F5351" s="653" t="n"/>
    </row>
    <row r="5352">
      <c r="F5352" s="653" t="n"/>
    </row>
    <row r="5353">
      <c r="F5353" s="653" t="n"/>
    </row>
    <row r="5354">
      <c r="F5354" s="653" t="n"/>
    </row>
    <row r="5355">
      <c r="F5355" s="653" t="n"/>
    </row>
    <row r="5356">
      <c r="F5356" s="653" t="n"/>
    </row>
    <row r="5357">
      <c r="F5357" s="653" t="n"/>
    </row>
    <row r="5358">
      <c r="F5358" s="653" t="n"/>
    </row>
    <row r="5359">
      <c r="F5359" s="653" t="n"/>
    </row>
    <row r="5360">
      <c r="F5360" s="653" t="n"/>
    </row>
    <row r="5361">
      <c r="F5361" s="653" t="n"/>
    </row>
    <row r="5362">
      <c r="F5362" s="653" t="n"/>
    </row>
    <row r="5363">
      <c r="F5363" s="653" t="n"/>
    </row>
    <row r="5364">
      <c r="F5364" s="653" t="n"/>
    </row>
    <row r="5365">
      <c r="F5365" s="653" t="n"/>
    </row>
    <row r="5366">
      <c r="F5366" s="653" t="n"/>
    </row>
    <row r="5367">
      <c r="F5367" s="653" t="n"/>
    </row>
    <row r="5368">
      <c r="F5368" s="653" t="n"/>
    </row>
    <row r="5369">
      <c r="F5369" s="653" t="n"/>
    </row>
    <row r="5370">
      <c r="F5370" s="653" t="n"/>
    </row>
    <row r="5371">
      <c r="F5371" s="653" t="n"/>
    </row>
    <row r="5372">
      <c r="F5372" s="653" t="n"/>
    </row>
    <row r="5373">
      <c r="F5373" s="653" t="n"/>
    </row>
    <row r="5374">
      <c r="F5374" s="653" t="n"/>
    </row>
    <row r="5375">
      <c r="F5375" s="653" t="n"/>
    </row>
    <row r="5376">
      <c r="F5376" s="653" t="n"/>
    </row>
    <row r="5377">
      <c r="F5377" s="653" t="n"/>
    </row>
    <row r="5378">
      <c r="F5378" s="653" t="n"/>
    </row>
    <row r="5379">
      <c r="F5379" s="653" t="n"/>
    </row>
    <row r="5380">
      <c r="F5380" s="653" t="n"/>
    </row>
    <row r="5381">
      <c r="F5381" s="653" t="n"/>
    </row>
    <row r="5382">
      <c r="F5382" s="653" t="n"/>
    </row>
    <row r="5383">
      <c r="F5383" s="653" t="n"/>
    </row>
    <row r="5384">
      <c r="F5384" s="653" t="n"/>
    </row>
    <row r="5385">
      <c r="F5385" s="653" t="n"/>
    </row>
    <row r="5386">
      <c r="F5386" s="653" t="n"/>
    </row>
    <row r="5387">
      <c r="F5387" s="653" t="n"/>
    </row>
    <row r="5388">
      <c r="F5388" s="653" t="n"/>
    </row>
    <row r="5389">
      <c r="F5389" s="653" t="n"/>
    </row>
    <row r="5390">
      <c r="F5390" s="653" t="n"/>
    </row>
    <row r="5391">
      <c r="F5391" s="653" t="n"/>
    </row>
    <row r="5392">
      <c r="F5392" s="653" t="n"/>
    </row>
    <row r="5393">
      <c r="F5393" s="653" t="n"/>
    </row>
    <row r="5394">
      <c r="F5394" s="653" t="n"/>
    </row>
    <row r="5395">
      <c r="F5395" s="653" t="n"/>
    </row>
    <row r="5396">
      <c r="F5396" s="653" t="n"/>
    </row>
    <row r="5397">
      <c r="F5397" s="653" t="n"/>
    </row>
    <row r="5398">
      <c r="F5398" s="653" t="n"/>
    </row>
    <row r="5399">
      <c r="F5399" s="653" t="n"/>
    </row>
    <row r="5400">
      <c r="F5400" s="653" t="n"/>
    </row>
    <row r="5401">
      <c r="F5401" s="653" t="n"/>
    </row>
    <row r="5402">
      <c r="F5402" s="653" t="n"/>
    </row>
    <row r="5403">
      <c r="F5403" s="653" t="n"/>
    </row>
    <row r="5404">
      <c r="F5404" s="653" t="n"/>
    </row>
    <row r="5405">
      <c r="F5405" s="653" t="n"/>
    </row>
    <row r="5406">
      <c r="F5406" s="653" t="n"/>
    </row>
    <row r="5407">
      <c r="F5407" s="653" t="n"/>
    </row>
    <row r="5408">
      <c r="F5408" s="653" t="n"/>
    </row>
    <row r="5409">
      <c r="F5409" s="653" t="n"/>
    </row>
    <row r="5410">
      <c r="F5410" s="653" t="n"/>
    </row>
    <row r="5411">
      <c r="F5411" s="653" t="n"/>
    </row>
    <row r="5412">
      <c r="F5412" s="653" t="n"/>
    </row>
    <row r="5413">
      <c r="F5413" s="653" t="n"/>
    </row>
    <row r="5414">
      <c r="F5414" s="653" t="n"/>
    </row>
    <row r="5415">
      <c r="F5415" s="653" t="n"/>
    </row>
    <row r="5416">
      <c r="F5416" s="653" t="n"/>
    </row>
    <row r="5417">
      <c r="F5417" s="653" t="n"/>
    </row>
    <row r="5418">
      <c r="F5418" s="653" t="n"/>
    </row>
    <row r="5419">
      <c r="F5419" s="653" t="n"/>
    </row>
    <row r="5420">
      <c r="F5420" s="653" t="n"/>
    </row>
    <row r="5421">
      <c r="F5421" s="653" t="n"/>
    </row>
    <row r="5422">
      <c r="F5422" s="653" t="n"/>
    </row>
    <row r="5423">
      <c r="F5423" s="653" t="n"/>
    </row>
    <row r="5424">
      <c r="F5424" s="653" t="n"/>
    </row>
    <row r="5425">
      <c r="F5425" s="653" t="n"/>
    </row>
    <row r="5426">
      <c r="F5426" s="653" t="n"/>
    </row>
    <row r="5427">
      <c r="F5427" s="653" t="n"/>
    </row>
    <row r="5428">
      <c r="F5428" s="653" t="n"/>
    </row>
    <row r="5429">
      <c r="F5429" s="653" t="n"/>
    </row>
    <row r="5430">
      <c r="F5430" s="653" t="n"/>
    </row>
    <row r="5431">
      <c r="F5431" s="653" t="n"/>
    </row>
    <row r="5432">
      <c r="F5432" s="653" t="n"/>
    </row>
    <row r="5433">
      <c r="F5433" s="653" t="n"/>
    </row>
    <row r="5434">
      <c r="F5434" s="653" t="n"/>
    </row>
    <row r="5435">
      <c r="F5435" s="653" t="n"/>
    </row>
    <row r="5436">
      <c r="F5436" s="653" t="n"/>
    </row>
    <row r="5437">
      <c r="F5437" s="653" t="n"/>
    </row>
    <row r="5438">
      <c r="F5438" s="653" t="n"/>
    </row>
    <row r="5439">
      <c r="F5439" s="653" t="n"/>
    </row>
    <row r="5440">
      <c r="F5440" s="653" t="n"/>
    </row>
    <row r="5441">
      <c r="F5441" s="653" t="n"/>
    </row>
    <row r="5442">
      <c r="F5442" s="653" t="n"/>
    </row>
    <row r="5443">
      <c r="F5443" s="653" t="n"/>
    </row>
    <row r="5444">
      <c r="F5444" s="653" t="n"/>
    </row>
    <row r="5445">
      <c r="F5445" s="653" t="n"/>
    </row>
    <row r="5446">
      <c r="F5446" s="653" t="n"/>
    </row>
    <row r="5447">
      <c r="F5447" s="653" t="n"/>
    </row>
    <row r="5448">
      <c r="F5448" s="653" t="n"/>
    </row>
    <row r="5449">
      <c r="F5449" s="653" t="n"/>
    </row>
    <row r="5450">
      <c r="F5450" s="653" t="n"/>
    </row>
    <row r="5451">
      <c r="F5451" s="653" t="n"/>
    </row>
    <row r="5452">
      <c r="F5452" s="653" t="n"/>
    </row>
    <row r="5453">
      <c r="F5453" s="653" t="n"/>
    </row>
    <row r="5454">
      <c r="F5454" s="653" t="n"/>
    </row>
    <row r="5455">
      <c r="F5455" s="653" t="n"/>
    </row>
    <row r="5456">
      <c r="F5456" s="653" t="n"/>
    </row>
    <row r="5457">
      <c r="F5457" s="653" t="n"/>
    </row>
    <row r="5458">
      <c r="F5458" s="653" t="n"/>
    </row>
    <row r="5459">
      <c r="F5459" s="653" t="n"/>
    </row>
    <row r="5460">
      <c r="F5460" s="653" t="n"/>
    </row>
    <row r="5461">
      <c r="F5461" s="653" t="n"/>
    </row>
    <row r="5462">
      <c r="F5462" s="653" t="n"/>
    </row>
    <row r="5463">
      <c r="F5463" s="653" t="n"/>
    </row>
    <row r="5464">
      <c r="F5464" s="653" t="n"/>
    </row>
    <row r="5465">
      <c r="F5465" s="653" t="n"/>
    </row>
    <row r="5466">
      <c r="F5466" s="653" t="n"/>
    </row>
    <row r="5467">
      <c r="F5467" s="653" t="n"/>
    </row>
    <row r="5468">
      <c r="F5468" s="653" t="n"/>
    </row>
    <row r="5469">
      <c r="F5469" s="653" t="n"/>
    </row>
    <row r="5470">
      <c r="F5470" s="653" t="n"/>
    </row>
    <row r="5471">
      <c r="F5471" s="653" t="n"/>
    </row>
    <row r="5472">
      <c r="F5472" s="653" t="n"/>
    </row>
    <row r="5473">
      <c r="F5473" s="653" t="n"/>
    </row>
    <row r="5474">
      <c r="F5474" s="653" t="n"/>
    </row>
    <row r="5475">
      <c r="F5475" s="653" t="n"/>
    </row>
    <row r="5476">
      <c r="F5476" s="653" t="n"/>
    </row>
    <row r="5477">
      <c r="F5477" s="653" t="n"/>
    </row>
    <row r="5478">
      <c r="F5478" s="653" t="n"/>
    </row>
    <row r="5479">
      <c r="F5479" s="653" t="n"/>
    </row>
    <row r="5480">
      <c r="F5480" s="653" t="n"/>
    </row>
    <row r="5481">
      <c r="F5481" s="653" t="n"/>
    </row>
    <row r="5482">
      <c r="F5482" s="653" t="n"/>
    </row>
    <row r="5483">
      <c r="F5483" s="653" t="n"/>
    </row>
    <row r="5484">
      <c r="F5484" s="653" t="n"/>
    </row>
    <row r="5485">
      <c r="F5485" s="653" t="n"/>
    </row>
    <row r="5486">
      <c r="F5486" s="653" t="n"/>
    </row>
    <row r="5487">
      <c r="F5487" s="653" t="n"/>
    </row>
    <row r="5488">
      <c r="F5488" s="653" t="n"/>
    </row>
    <row r="5489">
      <c r="F5489" s="653" t="n"/>
    </row>
    <row r="5490">
      <c r="F5490" s="653" t="n"/>
    </row>
    <row r="5491">
      <c r="F5491" s="653" t="n"/>
    </row>
    <row r="5492">
      <c r="F5492" s="653" t="n"/>
    </row>
    <row r="5493">
      <c r="F5493" s="653" t="n"/>
    </row>
    <row r="5494">
      <c r="F5494" s="653" t="n"/>
    </row>
    <row r="5495">
      <c r="F5495" s="653" t="n"/>
    </row>
    <row r="5496">
      <c r="F5496" s="653" t="n"/>
    </row>
    <row r="5497">
      <c r="F5497" s="653" t="n"/>
    </row>
    <row r="5498">
      <c r="F5498" s="653" t="n"/>
    </row>
    <row r="5499">
      <c r="F5499" s="653" t="n"/>
    </row>
    <row r="5500">
      <c r="F5500" s="653" t="n"/>
    </row>
    <row r="5501">
      <c r="F5501" s="653" t="n"/>
    </row>
    <row r="5502">
      <c r="F5502" s="653" t="n"/>
    </row>
    <row r="5503">
      <c r="F5503" s="653" t="n"/>
    </row>
    <row r="5504">
      <c r="F5504" s="653" t="n"/>
    </row>
    <row r="5505">
      <c r="F5505" s="653" t="n"/>
    </row>
    <row r="5506">
      <c r="F5506" s="653" t="n"/>
    </row>
    <row r="5507">
      <c r="F5507" s="653" t="n"/>
    </row>
    <row r="5508">
      <c r="F5508" s="653" t="n"/>
    </row>
    <row r="5509">
      <c r="F5509" s="653" t="n"/>
    </row>
    <row r="5510">
      <c r="F5510" s="653" t="n"/>
    </row>
    <row r="5511">
      <c r="F5511" s="653" t="n"/>
    </row>
    <row r="5512">
      <c r="F5512" s="653" t="n"/>
    </row>
    <row r="5513">
      <c r="F5513" s="653" t="n"/>
    </row>
    <row r="5514">
      <c r="F5514" s="653" t="n"/>
    </row>
    <row r="5515">
      <c r="F5515" s="653" t="n"/>
    </row>
    <row r="5516">
      <c r="F5516" s="653" t="n"/>
    </row>
    <row r="5517">
      <c r="F5517" s="653" t="n"/>
    </row>
    <row r="5518">
      <c r="F5518" s="653" t="n"/>
    </row>
    <row r="5519">
      <c r="F5519" s="653" t="n"/>
    </row>
    <row r="5520">
      <c r="F5520" s="653" t="n"/>
    </row>
    <row r="5521">
      <c r="F5521" s="653" t="n"/>
    </row>
    <row r="5522">
      <c r="F5522" s="653" t="n"/>
    </row>
    <row r="5523">
      <c r="F5523" s="653" t="n"/>
    </row>
    <row r="5524">
      <c r="F5524" s="653" t="n"/>
    </row>
    <row r="5525">
      <c r="F5525" s="653" t="n"/>
    </row>
    <row r="5526">
      <c r="F5526" s="653" t="n"/>
    </row>
    <row r="5527">
      <c r="F5527" s="653" t="n"/>
    </row>
    <row r="5528">
      <c r="F5528" s="653" t="n"/>
    </row>
    <row r="5529">
      <c r="F5529" s="653" t="n"/>
    </row>
    <row r="5530">
      <c r="F5530" s="653" t="n"/>
    </row>
    <row r="5531">
      <c r="F5531" s="653" t="n"/>
    </row>
    <row r="5532">
      <c r="F5532" s="653" t="n"/>
    </row>
    <row r="5533">
      <c r="F5533" s="653" t="n"/>
    </row>
    <row r="5534">
      <c r="F5534" s="653" t="n"/>
    </row>
    <row r="5535">
      <c r="F5535" s="653" t="n"/>
    </row>
    <row r="5536">
      <c r="F5536" s="653" t="n"/>
    </row>
    <row r="5537">
      <c r="F5537" s="653" t="n"/>
    </row>
    <row r="5538">
      <c r="F5538" s="653" t="n"/>
    </row>
    <row r="5539">
      <c r="F5539" s="653" t="n"/>
    </row>
    <row r="5540">
      <c r="F5540" s="653" t="n"/>
    </row>
    <row r="5541">
      <c r="F5541" s="653" t="n"/>
    </row>
    <row r="5542">
      <c r="F5542" s="653" t="n"/>
    </row>
    <row r="5543">
      <c r="F5543" s="653" t="n"/>
    </row>
    <row r="5544">
      <c r="F5544" s="653" t="n"/>
    </row>
    <row r="5545">
      <c r="F5545" s="653" t="n"/>
    </row>
    <row r="5546">
      <c r="F5546" s="653" t="n"/>
    </row>
    <row r="5547">
      <c r="F5547" s="653" t="n"/>
    </row>
    <row r="5548">
      <c r="F5548" s="653" t="n"/>
    </row>
    <row r="5549">
      <c r="F5549" s="653" t="n"/>
    </row>
    <row r="5550">
      <c r="F5550" s="653" t="n"/>
    </row>
    <row r="5551">
      <c r="F5551" s="653" t="n"/>
    </row>
    <row r="5552">
      <c r="F5552" s="653" t="n"/>
    </row>
    <row r="5553">
      <c r="F5553" s="653" t="n"/>
    </row>
    <row r="5554">
      <c r="F5554" s="653" t="n"/>
    </row>
    <row r="5555">
      <c r="F5555" s="653" t="n"/>
    </row>
    <row r="5556">
      <c r="F5556" s="653" t="n"/>
    </row>
    <row r="5557">
      <c r="F5557" s="653" t="n"/>
    </row>
    <row r="5558">
      <c r="F5558" s="653" t="n"/>
    </row>
    <row r="5559">
      <c r="F5559" s="653" t="n"/>
    </row>
    <row r="5560">
      <c r="F5560" s="653" t="n"/>
    </row>
    <row r="5561">
      <c r="F5561" s="653" t="n"/>
    </row>
    <row r="5562">
      <c r="F5562" s="653" t="n"/>
    </row>
    <row r="5563">
      <c r="F5563" s="653" t="n"/>
    </row>
    <row r="5564">
      <c r="F5564" s="653" t="n"/>
    </row>
    <row r="5565">
      <c r="F5565" s="653" t="n"/>
    </row>
    <row r="5566">
      <c r="F5566" s="653" t="n"/>
    </row>
    <row r="5567">
      <c r="F5567" s="653" t="n"/>
    </row>
    <row r="5568">
      <c r="F5568" s="653" t="n"/>
    </row>
    <row r="5569">
      <c r="F5569" s="653" t="n"/>
    </row>
    <row r="5570">
      <c r="F5570" s="653" t="n"/>
    </row>
    <row r="5571">
      <c r="F5571" s="653" t="n"/>
    </row>
    <row r="5572">
      <c r="F5572" s="653" t="n"/>
    </row>
    <row r="5573">
      <c r="F5573" s="653" t="n"/>
    </row>
    <row r="5574">
      <c r="F5574" s="653" t="n"/>
    </row>
    <row r="5575">
      <c r="F5575" s="653" t="n"/>
    </row>
    <row r="5576">
      <c r="F5576" s="653" t="n"/>
    </row>
    <row r="5577">
      <c r="F5577" s="653" t="n"/>
    </row>
    <row r="5578">
      <c r="F5578" s="653" t="n"/>
    </row>
    <row r="5579">
      <c r="F5579" s="653" t="n"/>
    </row>
    <row r="5580">
      <c r="F5580" s="653" t="n"/>
    </row>
    <row r="5581">
      <c r="F5581" s="653" t="n"/>
    </row>
    <row r="5582">
      <c r="F5582" s="653" t="n"/>
    </row>
    <row r="5583">
      <c r="F5583" s="653" t="n"/>
    </row>
    <row r="5584">
      <c r="F5584" s="653" t="n"/>
    </row>
    <row r="5585">
      <c r="F5585" s="653" t="n"/>
    </row>
    <row r="5586">
      <c r="F5586" s="653" t="n"/>
    </row>
    <row r="5587">
      <c r="F5587" s="653" t="n"/>
    </row>
    <row r="5588">
      <c r="F5588" s="653" t="n"/>
    </row>
    <row r="5589">
      <c r="F5589" s="653" t="n"/>
    </row>
    <row r="5590">
      <c r="F5590" s="653" t="n"/>
    </row>
    <row r="5591">
      <c r="F5591" s="653" t="n"/>
    </row>
    <row r="5592">
      <c r="F5592" s="653" t="n"/>
    </row>
    <row r="5593">
      <c r="F5593" s="653" t="n"/>
    </row>
    <row r="5594">
      <c r="F5594" s="653" t="n"/>
    </row>
    <row r="5595">
      <c r="F5595" s="653" t="n"/>
    </row>
    <row r="5596">
      <c r="F5596" s="653" t="n"/>
    </row>
    <row r="5597">
      <c r="F5597" s="653" t="n"/>
    </row>
    <row r="5598">
      <c r="F5598" s="653" t="n"/>
    </row>
    <row r="5599">
      <c r="F5599" s="653" t="n"/>
    </row>
    <row r="5600">
      <c r="F5600" s="653" t="n"/>
    </row>
    <row r="5601">
      <c r="F5601" s="653" t="n"/>
    </row>
    <row r="5602">
      <c r="F5602" s="653" t="n"/>
    </row>
    <row r="5603">
      <c r="F5603" s="653" t="n"/>
    </row>
    <row r="5604">
      <c r="F5604" s="653" t="n"/>
    </row>
    <row r="5605">
      <c r="F5605" s="653" t="n"/>
    </row>
    <row r="5606">
      <c r="F5606" s="653" t="n"/>
    </row>
    <row r="5607">
      <c r="F5607" s="653" t="n"/>
    </row>
    <row r="5608">
      <c r="F5608" s="653" t="n"/>
    </row>
    <row r="5609">
      <c r="F5609" s="653" t="n"/>
    </row>
    <row r="5610">
      <c r="F5610" s="653" t="n"/>
    </row>
    <row r="5611">
      <c r="F5611" s="653" t="n"/>
    </row>
    <row r="5612">
      <c r="F5612" s="653" t="n"/>
    </row>
    <row r="5613">
      <c r="F5613" s="653" t="n"/>
    </row>
    <row r="5614">
      <c r="F5614" s="653" t="n"/>
    </row>
    <row r="5615">
      <c r="F5615" s="653" t="n"/>
    </row>
    <row r="5616">
      <c r="F5616" s="653" t="n"/>
    </row>
    <row r="5617">
      <c r="F5617" s="653" t="n"/>
    </row>
    <row r="5618">
      <c r="F5618" s="653" t="n"/>
    </row>
    <row r="5619">
      <c r="F5619" s="653" t="n"/>
    </row>
    <row r="5620">
      <c r="F5620" s="653" t="n"/>
    </row>
    <row r="5621">
      <c r="F5621" s="653" t="n"/>
    </row>
    <row r="5622">
      <c r="F5622" s="653" t="n"/>
    </row>
    <row r="5623">
      <c r="F5623" s="653" t="n"/>
    </row>
    <row r="5624">
      <c r="F5624" s="653" t="n"/>
    </row>
    <row r="5625">
      <c r="F5625" s="653" t="n"/>
    </row>
    <row r="5626">
      <c r="F5626" s="653" t="n"/>
    </row>
    <row r="5627">
      <c r="F5627" s="653" t="n"/>
    </row>
    <row r="5628">
      <c r="F5628" s="653" t="n"/>
    </row>
    <row r="5629">
      <c r="F5629" s="653" t="n"/>
    </row>
    <row r="5630">
      <c r="F5630" s="653" t="n"/>
    </row>
    <row r="5631">
      <c r="F5631" s="653" t="n"/>
    </row>
    <row r="5632">
      <c r="F5632" s="653" t="n"/>
    </row>
    <row r="5633">
      <c r="F5633" s="653" t="n"/>
    </row>
    <row r="5634">
      <c r="F5634" s="653" t="n"/>
    </row>
    <row r="5635">
      <c r="F5635" s="653" t="n"/>
    </row>
    <row r="5636">
      <c r="F5636" s="653" t="n"/>
    </row>
    <row r="5637">
      <c r="F5637" s="653" t="n"/>
    </row>
    <row r="5638">
      <c r="F5638" s="653" t="n"/>
    </row>
    <row r="5639">
      <c r="F5639" s="653" t="n"/>
    </row>
    <row r="5640">
      <c r="F5640" s="653" t="n"/>
    </row>
    <row r="5641">
      <c r="F5641" s="653" t="n"/>
    </row>
    <row r="5642">
      <c r="F5642" s="653" t="n"/>
    </row>
    <row r="5643">
      <c r="F5643" s="653" t="n"/>
    </row>
    <row r="5644">
      <c r="F5644" s="653" t="n"/>
    </row>
    <row r="5645">
      <c r="F5645" s="653" t="n"/>
    </row>
    <row r="5646">
      <c r="F5646" s="653" t="n"/>
    </row>
    <row r="5647">
      <c r="F5647" s="653" t="n"/>
    </row>
    <row r="5648">
      <c r="F5648" s="653" t="n"/>
    </row>
    <row r="5649">
      <c r="F5649" s="653" t="n"/>
    </row>
    <row r="5650">
      <c r="F5650" s="653" t="n"/>
    </row>
    <row r="5651">
      <c r="F5651" s="653" t="n"/>
    </row>
    <row r="5652">
      <c r="F5652" s="653" t="n"/>
    </row>
    <row r="5653">
      <c r="F5653" s="653" t="n"/>
    </row>
    <row r="5654">
      <c r="F5654" s="653" t="n"/>
    </row>
    <row r="5655">
      <c r="F5655" s="653" t="n"/>
    </row>
    <row r="5656">
      <c r="F5656" s="653" t="n"/>
    </row>
    <row r="5657">
      <c r="F5657" s="653" t="n"/>
    </row>
    <row r="5658">
      <c r="F5658" s="653" t="n"/>
    </row>
    <row r="5659">
      <c r="F5659" s="653" t="n"/>
    </row>
    <row r="5660">
      <c r="F5660" s="653" t="n"/>
    </row>
    <row r="5661">
      <c r="F5661" s="653" t="n"/>
    </row>
    <row r="5662">
      <c r="F5662" s="653" t="n"/>
    </row>
    <row r="5663">
      <c r="F5663" s="653" t="n"/>
    </row>
    <row r="5664">
      <c r="F5664" s="653" t="n"/>
    </row>
    <row r="5665">
      <c r="F5665" s="653" t="n"/>
    </row>
    <row r="5666">
      <c r="F5666" s="653" t="n"/>
    </row>
    <row r="5667">
      <c r="F5667" s="653" t="n"/>
    </row>
    <row r="5668">
      <c r="F5668" s="653" t="n"/>
    </row>
    <row r="5669">
      <c r="F5669" s="653" t="n"/>
    </row>
    <row r="5670">
      <c r="F5670" s="653" t="n"/>
    </row>
    <row r="5671">
      <c r="F5671" s="653" t="n"/>
    </row>
    <row r="5672">
      <c r="F5672" s="653" t="n"/>
    </row>
    <row r="5673">
      <c r="F5673" s="653" t="n"/>
    </row>
    <row r="5674">
      <c r="F5674" s="653" t="n"/>
    </row>
    <row r="5675">
      <c r="F5675" s="653" t="n"/>
    </row>
    <row r="5676">
      <c r="F5676" s="653" t="n"/>
    </row>
    <row r="5677">
      <c r="F5677" s="653" t="n"/>
    </row>
    <row r="5678">
      <c r="F5678" s="653" t="n"/>
    </row>
    <row r="5679">
      <c r="F5679" s="653" t="n"/>
    </row>
    <row r="5680">
      <c r="F5680" s="653" t="n"/>
    </row>
    <row r="5681">
      <c r="F5681" s="653" t="n"/>
    </row>
    <row r="5682">
      <c r="F5682" s="653" t="n"/>
    </row>
    <row r="5683">
      <c r="F5683" s="653" t="n"/>
    </row>
    <row r="5684">
      <c r="F5684" s="653" t="n"/>
    </row>
    <row r="5685">
      <c r="F5685" s="653" t="n"/>
    </row>
    <row r="5686">
      <c r="F5686" s="653" t="n"/>
    </row>
    <row r="5687">
      <c r="F5687" s="653" t="n"/>
    </row>
    <row r="5688">
      <c r="F5688" s="653" t="n"/>
    </row>
    <row r="5689">
      <c r="F5689" s="653" t="n"/>
    </row>
    <row r="5690">
      <c r="F5690" s="653" t="n"/>
    </row>
    <row r="5691">
      <c r="F5691" s="653" t="n"/>
    </row>
    <row r="5692">
      <c r="F5692" s="653" t="n"/>
    </row>
    <row r="5693">
      <c r="F5693" s="653" t="n"/>
    </row>
    <row r="5694">
      <c r="F5694" s="653" t="n"/>
    </row>
    <row r="5695">
      <c r="F5695" s="653" t="n"/>
    </row>
    <row r="5696">
      <c r="F5696" s="653" t="n"/>
    </row>
    <row r="5697">
      <c r="F5697" s="653" t="n"/>
    </row>
    <row r="5698">
      <c r="F5698" s="653" t="n"/>
    </row>
    <row r="5699">
      <c r="F5699" s="653" t="n"/>
    </row>
    <row r="5700">
      <c r="F5700" s="653" t="n"/>
    </row>
    <row r="5701">
      <c r="F5701" s="653" t="n"/>
    </row>
    <row r="5702">
      <c r="F5702" s="653" t="n"/>
    </row>
    <row r="5703">
      <c r="F5703" s="653" t="n"/>
    </row>
    <row r="5704">
      <c r="F5704" s="653" t="n"/>
    </row>
    <row r="5705">
      <c r="F5705" s="653" t="n"/>
    </row>
    <row r="5706">
      <c r="F5706" s="653" t="n"/>
    </row>
    <row r="5707">
      <c r="F5707" s="653" t="n"/>
    </row>
    <row r="5708">
      <c r="F5708" s="653" t="n"/>
    </row>
    <row r="5709">
      <c r="F5709" s="653" t="n"/>
    </row>
    <row r="5710">
      <c r="F5710" s="653" t="n"/>
    </row>
    <row r="5711">
      <c r="F5711" s="653" t="n"/>
    </row>
    <row r="5712">
      <c r="F5712" s="653" t="n"/>
    </row>
    <row r="5713">
      <c r="F5713" s="653" t="n"/>
    </row>
    <row r="5714">
      <c r="F5714" s="653" t="n"/>
    </row>
    <row r="5715">
      <c r="F5715" s="653" t="n"/>
    </row>
    <row r="5716">
      <c r="F5716" s="653" t="n"/>
    </row>
    <row r="5717">
      <c r="F5717" s="653" t="n"/>
    </row>
    <row r="5718">
      <c r="F5718" s="653" t="n"/>
    </row>
    <row r="5719">
      <c r="F5719" s="653" t="n"/>
    </row>
    <row r="5720">
      <c r="F5720" s="653" t="n"/>
    </row>
    <row r="5721">
      <c r="F5721" s="653" t="n"/>
    </row>
    <row r="5722">
      <c r="F5722" s="653" t="n"/>
    </row>
    <row r="5723">
      <c r="F5723" s="653" t="n"/>
    </row>
    <row r="5724">
      <c r="F5724" s="653" t="n"/>
    </row>
    <row r="5725">
      <c r="F5725" s="653" t="n"/>
    </row>
    <row r="5726">
      <c r="F5726" s="653" t="n"/>
    </row>
    <row r="5727">
      <c r="F5727" s="653" t="n"/>
    </row>
    <row r="5728">
      <c r="F5728" s="653" t="n"/>
    </row>
    <row r="5729">
      <c r="F5729" s="653" t="n"/>
    </row>
    <row r="5730">
      <c r="F5730" s="653" t="n"/>
    </row>
    <row r="5731">
      <c r="F5731" s="653" t="n"/>
    </row>
    <row r="5732">
      <c r="F5732" s="653" t="n"/>
    </row>
    <row r="5733">
      <c r="F5733" s="653" t="n"/>
    </row>
    <row r="5734">
      <c r="F5734" s="653" t="n"/>
    </row>
    <row r="5735">
      <c r="F5735" s="653" t="n"/>
    </row>
    <row r="5736">
      <c r="F5736" s="653" t="n"/>
    </row>
    <row r="5737">
      <c r="F5737" s="653" t="n"/>
    </row>
    <row r="5738">
      <c r="F5738" s="653" t="n"/>
    </row>
    <row r="5739">
      <c r="F5739" s="653" t="n"/>
    </row>
    <row r="5740">
      <c r="F5740" s="653" t="n"/>
    </row>
    <row r="5741">
      <c r="F5741" s="653" t="n"/>
    </row>
    <row r="5742">
      <c r="F5742" s="653" t="n"/>
    </row>
    <row r="5743">
      <c r="F5743" s="653" t="n"/>
    </row>
    <row r="5744">
      <c r="F5744" s="653" t="n"/>
    </row>
    <row r="5745">
      <c r="F5745" s="653" t="n"/>
    </row>
    <row r="5746">
      <c r="F5746" s="653" t="n"/>
    </row>
    <row r="5747">
      <c r="F5747" s="653" t="n"/>
    </row>
    <row r="5748">
      <c r="F5748" s="653" t="n"/>
    </row>
    <row r="5749">
      <c r="F5749" s="653" t="n"/>
    </row>
    <row r="5750">
      <c r="F5750" s="653" t="n"/>
    </row>
    <row r="5751">
      <c r="F5751" s="653" t="n"/>
    </row>
    <row r="5752">
      <c r="F5752" s="653" t="n"/>
    </row>
    <row r="5753">
      <c r="F5753" s="653" t="n"/>
    </row>
    <row r="5754">
      <c r="F5754" s="653" t="n"/>
    </row>
    <row r="5755">
      <c r="F5755" s="653" t="n"/>
    </row>
    <row r="5756">
      <c r="F5756" s="653" t="n"/>
    </row>
    <row r="5757">
      <c r="F5757" s="653" t="n"/>
    </row>
    <row r="5758">
      <c r="F5758" s="653" t="n"/>
    </row>
    <row r="5759">
      <c r="F5759" s="653" t="n"/>
    </row>
    <row r="5760">
      <c r="F5760" s="653" t="n"/>
    </row>
    <row r="5761">
      <c r="F5761" s="653" t="n"/>
    </row>
    <row r="5762">
      <c r="F5762" s="653" t="n"/>
    </row>
    <row r="5763">
      <c r="F5763" s="653" t="n"/>
    </row>
    <row r="5764">
      <c r="F5764" s="653" t="n"/>
    </row>
    <row r="5765">
      <c r="F5765" s="653" t="n"/>
    </row>
    <row r="5766">
      <c r="F5766" s="653" t="n"/>
    </row>
    <row r="5767">
      <c r="F5767" s="653" t="n"/>
    </row>
    <row r="5768">
      <c r="F5768" s="653" t="n"/>
    </row>
    <row r="5769">
      <c r="F5769" s="653" t="n"/>
    </row>
    <row r="5770">
      <c r="F5770" s="653" t="n"/>
    </row>
    <row r="5771">
      <c r="F5771" s="653" t="n"/>
    </row>
    <row r="5772">
      <c r="F5772" s="653" t="n"/>
    </row>
    <row r="5773">
      <c r="F5773" s="653" t="n"/>
    </row>
    <row r="5774">
      <c r="F5774" s="653" t="n"/>
    </row>
    <row r="5775">
      <c r="F5775" s="653" t="n"/>
    </row>
    <row r="5776">
      <c r="F5776" s="653" t="n"/>
    </row>
    <row r="5777">
      <c r="F5777" s="653" t="n"/>
    </row>
    <row r="5778">
      <c r="F5778" s="653" t="n"/>
    </row>
    <row r="5779">
      <c r="F5779" s="653" t="n"/>
    </row>
    <row r="5780">
      <c r="F5780" s="653" t="n"/>
    </row>
    <row r="5781">
      <c r="F5781" s="653" t="n"/>
    </row>
    <row r="5782">
      <c r="F5782" s="653" t="n"/>
    </row>
    <row r="5783">
      <c r="F5783" s="653" t="n"/>
    </row>
    <row r="5784">
      <c r="F5784" s="653" t="n"/>
    </row>
    <row r="5785">
      <c r="F5785" s="653" t="n"/>
    </row>
    <row r="5786">
      <c r="F5786" s="653" t="n"/>
    </row>
    <row r="5787">
      <c r="F5787" s="653" t="n"/>
    </row>
    <row r="5788">
      <c r="F5788" s="653" t="n"/>
    </row>
    <row r="5789">
      <c r="F5789" s="653" t="n"/>
    </row>
    <row r="5790">
      <c r="F5790" s="653" t="n"/>
    </row>
    <row r="5791">
      <c r="F5791" s="653" t="n"/>
    </row>
    <row r="5792">
      <c r="F5792" s="653" t="n"/>
    </row>
    <row r="5793">
      <c r="F5793" s="653" t="n"/>
    </row>
    <row r="5794">
      <c r="F5794" s="653" t="n"/>
    </row>
    <row r="5795">
      <c r="F5795" s="653" t="n"/>
    </row>
    <row r="5796">
      <c r="F5796" s="653" t="n"/>
    </row>
    <row r="5797">
      <c r="F5797" s="653" t="n"/>
    </row>
    <row r="5798">
      <c r="F5798" s="653" t="n"/>
    </row>
    <row r="5799">
      <c r="F5799" s="653" t="n"/>
    </row>
    <row r="5800">
      <c r="F5800" s="653" t="n"/>
    </row>
    <row r="5801">
      <c r="F5801" s="653" t="n"/>
    </row>
    <row r="5802">
      <c r="F5802" s="653" t="n"/>
    </row>
    <row r="5803">
      <c r="F5803" s="653" t="n"/>
    </row>
    <row r="5804">
      <c r="F5804" s="653" t="n"/>
    </row>
    <row r="5805">
      <c r="F5805" s="653" t="n"/>
    </row>
    <row r="5806">
      <c r="F5806" s="653" t="n"/>
    </row>
    <row r="5807">
      <c r="F5807" s="653" t="n"/>
    </row>
    <row r="5808">
      <c r="F5808" s="653" t="n"/>
    </row>
    <row r="5809">
      <c r="F5809" s="653" t="n"/>
    </row>
    <row r="5810">
      <c r="F5810" s="653" t="n"/>
    </row>
    <row r="5811">
      <c r="F5811" s="653" t="n"/>
    </row>
    <row r="5812">
      <c r="F5812" s="653" t="n"/>
    </row>
    <row r="5813">
      <c r="F5813" s="653" t="n"/>
    </row>
    <row r="5814">
      <c r="F5814" s="653" t="n"/>
    </row>
    <row r="5815">
      <c r="F5815" s="653" t="n"/>
    </row>
    <row r="5816">
      <c r="F5816" s="653" t="n"/>
    </row>
    <row r="5817">
      <c r="F5817" s="653" t="n"/>
    </row>
    <row r="5818">
      <c r="F5818" s="653" t="n"/>
    </row>
    <row r="5819">
      <c r="F5819" s="653" t="n"/>
    </row>
    <row r="5820">
      <c r="F5820" s="653" t="n"/>
    </row>
    <row r="5821">
      <c r="F5821" s="653" t="n"/>
    </row>
    <row r="5822">
      <c r="F5822" s="653" t="n"/>
    </row>
    <row r="5823">
      <c r="F5823" s="653" t="n"/>
    </row>
    <row r="5824">
      <c r="F5824" s="653" t="n"/>
    </row>
    <row r="5825">
      <c r="F5825" s="653" t="n"/>
    </row>
    <row r="5826">
      <c r="F5826" s="653" t="n"/>
    </row>
    <row r="5827">
      <c r="F5827" s="653" t="n"/>
    </row>
    <row r="5828">
      <c r="F5828" s="653" t="n"/>
    </row>
    <row r="5829">
      <c r="F5829" s="653" t="n"/>
    </row>
    <row r="5830">
      <c r="F5830" s="653" t="n"/>
    </row>
    <row r="5831">
      <c r="F5831" s="653" t="n"/>
    </row>
    <row r="5832">
      <c r="F5832" s="653" t="n"/>
    </row>
    <row r="5833">
      <c r="F5833" s="653" t="n"/>
    </row>
    <row r="5834">
      <c r="F5834" s="653" t="n"/>
    </row>
    <row r="5835">
      <c r="F5835" s="653" t="n"/>
    </row>
    <row r="5836">
      <c r="F5836" s="653" t="n"/>
    </row>
    <row r="5837">
      <c r="F5837" s="653" t="n"/>
    </row>
    <row r="5838">
      <c r="F5838" s="653" t="n"/>
    </row>
    <row r="5839">
      <c r="F5839" s="653" t="n"/>
    </row>
    <row r="5840">
      <c r="F5840" s="653" t="n"/>
    </row>
    <row r="5841">
      <c r="F5841" s="653" t="n"/>
    </row>
    <row r="5842">
      <c r="F5842" s="653" t="n"/>
    </row>
    <row r="5843">
      <c r="F5843" s="653" t="n"/>
    </row>
    <row r="5844">
      <c r="F5844" s="653" t="n"/>
    </row>
    <row r="5845">
      <c r="F5845" s="653" t="n"/>
    </row>
    <row r="5846">
      <c r="F5846" s="653" t="n"/>
    </row>
    <row r="5847">
      <c r="F5847" s="653" t="n"/>
    </row>
    <row r="5848">
      <c r="F5848" s="653" t="n"/>
    </row>
    <row r="5849">
      <c r="F5849" s="653" t="n"/>
    </row>
    <row r="5850">
      <c r="F5850" s="653" t="n"/>
    </row>
    <row r="5851">
      <c r="F5851" s="653" t="n"/>
    </row>
    <row r="5852">
      <c r="F5852" s="653" t="n"/>
    </row>
    <row r="5853">
      <c r="F5853" s="653" t="n"/>
    </row>
    <row r="5854">
      <c r="F5854" s="653" t="n"/>
    </row>
    <row r="5855">
      <c r="F5855" s="653" t="n"/>
    </row>
    <row r="5856">
      <c r="F5856" s="653" t="n"/>
    </row>
    <row r="5857">
      <c r="F5857" s="653" t="n"/>
    </row>
    <row r="5858">
      <c r="F5858" s="653" t="n"/>
    </row>
    <row r="5859">
      <c r="F5859" s="653" t="n"/>
    </row>
    <row r="5860">
      <c r="F5860" s="653" t="n"/>
    </row>
    <row r="5861">
      <c r="F5861" s="653" t="n"/>
    </row>
    <row r="5862">
      <c r="F5862" s="653" t="n"/>
    </row>
    <row r="5863">
      <c r="F5863" s="653" t="n"/>
    </row>
    <row r="5864">
      <c r="F5864" s="653" t="n"/>
    </row>
    <row r="5865">
      <c r="F5865" s="653" t="n"/>
    </row>
    <row r="5866">
      <c r="F5866" s="653" t="n"/>
    </row>
    <row r="5867">
      <c r="F5867" s="653" t="n"/>
    </row>
    <row r="5868">
      <c r="F5868" s="653" t="n"/>
    </row>
    <row r="5869">
      <c r="F5869" s="653" t="n"/>
    </row>
    <row r="5870">
      <c r="F5870" s="653" t="n"/>
    </row>
    <row r="5871">
      <c r="F5871" s="653" t="n"/>
    </row>
    <row r="5872">
      <c r="F5872" s="653" t="n"/>
    </row>
    <row r="5873">
      <c r="F5873" s="653" t="n"/>
    </row>
    <row r="5874">
      <c r="F5874" s="653" t="n"/>
    </row>
    <row r="5875">
      <c r="F5875" s="653" t="n"/>
    </row>
    <row r="5876">
      <c r="F5876" s="653" t="n"/>
    </row>
    <row r="5877">
      <c r="F5877" s="653" t="n"/>
    </row>
    <row r="5878">
      <c r="F5878" s="653" t="n"/>
    </row>
    <row r="5879">
      <c r="F5879" s="653" t="n"/>
    </row>
    <row r="5880">
      <c r="F5880" s="653" t="n"/>
    </row>
    <row r="5881">
      <c r="F5881" s="653" t="n"/>
    </row>
    <row r="5882">
      <c r="F5882" s="653" t="n"/>
    </row>
    <row r="5883">
      <c r="F5883" s="653" t="n"/>
    </row>
    <row r="5884">
      <c r="F5884" s="653" t="n"/>
    </row>
    <row r="5885">
      <c r="F5885" s="653" t="n"/>
    </row>
    <row r="5886">
      <c r="F5886" s="653" t="n"/>
    </row>
    <row r="5887">
      <c r="F5887" s="653" t="n"/>
    </row>
    <row r="5888">
      <c r="F5888" s="653" t="n"/>
    </row>
    <row r="5889">
      <c r="F5889" s="653" t="n"/>
    </row>
    <row r="5890">
      <c r="F5890" s="653" t="n"/>
    </row>
    <row r="5891">
      <c r="F5891" s="653" t="n"/>
    </row>
    <row r="5892">
      <c r="F5892" s="653" t="n"/>
    </row>
    <row r="5893">
      <c r="F5893" s="653" t="n"/>
    </row>
    <row r="5894">
      <c r="F5894" s="653" t="n"/>
    </row>
    <row r="5895">
      <c r="F5895" s="653" t="n"/>
    </row>
    <row r="5896">
      <c r="F5896" s="653" t="n"/>
    </row>
    <row r="5897">
      <c r="F5897" s="653" t="n"/>
    </row>
    <row r="5898">
      <c r="F5898" s="653" t="n"/>
    </row>
    <row r="5899">
      <c r="F5899" s="653" t="n"/>
    </row>
    <row r="5900">
      <c r="F5900" s="653" t="n"/>
    </row>
    <row r="5901">
      <c r="F5901" s="653" t="n"/>
    </row>
    <row r="5902">
      <c r="F5902" s="653" t="n"/>
    </row>
    <row r="5903">
      <c r="F5903" s="653" t="n"/>
    </row>
    <row r="5904">
      <c r="F5904" s="653" t="n"/>
    </row>
    <row r="5905">
      <c r="F5905" s="653" t="n"/>
    </row>
    <row r="5906">
      <c r="F5906" s="653" t="n"/>
    </row>
    <row r="5907">
      <c r="F5907" s="653" t="n"/>
    </row>
    <row r="5908">
      <c r="F5908" s="653" t="n"/>
    </row>
    <row r="5909">
      <c r="F5909" s="653" t="n"/>
    </row>
    <row r="5910">
      <c r="F5910" s="653" t="n"/>
    </row>
    <row r="5911">
      <c r="F5911" s="653" t="n"/>
    </row>
    <row r="5912">
      <c r="F5912" s="653" t="n"/>
    </row>
    <row r="5913">
      <c r="F5913" s="653" t="n"/>
    </row>
    <row r="5914">
      <c r="F5914" s="653" t="n"/>
    </row>
    <row r="5915">
      <c r="F5915" s="653" t="n"/>
    </row>
    <row r="5916">
      <c r="F5916" s="653" t="n"/>
    </row>
    <row r="5917">
      <c r="F5917" s="653" t="n"/>
    </row>
    <row r="5918">
      <c r="F5918" s="653" t="n"/>
    </row>
    <row r="5919">
      <c r="F5919" s="653" t="n"/>
    </row>
    <row r="5920">
      <c r="F5920" s="653" t="n"/>
    </row>
    <row r="5921">
      <c r="F5921" s="653" t="n"/>
    </row>
    <row r="5922">
      <c r="F5922" s="653" t="n"/>
    </row>
    <row r="5923">
      <c r="F5923" s="653" t="n"/>
    </row>
    <row r="5924">
      <c r="F5924" s="653" t="n"/>
    </row>
    <row r="5925">
      <c r="F5925" s="653" t="n"/>
    </row>
    <row r="5926">
      <c r="F5926" s="653" t="n"/>
    </row>
    <row r="5927">
      <c r="F5927" s="653" t="n"/>
    </row>
    <row r="5928">
      <c r="F5928" s="653" t="n"/>
    </row>
    <row r="5929">
      <c r="F5929" s="653" t="n"/>
    </row>
    <row r="5930">
      <c r="F5930" s="653" t="n"/>
    </row>
    <row r="5931">
      <c r="F5931" s="653" t="n"/>
    </row>
    <row r="5932">
      <c r="F5932" s="653" t="n"/>
    </row>
    <row r="5933">
      <c r="F5933" s="653" t="n"/>
    </row>
    <row r="5934">
      <c r="F5934" s="653" t="n"/>
    </row>
    <row r="5935">
      <c r="F5935" s="653" t="n"/>
    </row>
    <row r="5936">
      <c r="F5936" s="653" t="n"/>
    </row>
    <row r="5937">
      <c r="F5937" s="653" t="n"/>
    </row>
    <row r="5938">
      <c r="F5938" s="653" t="n"/>
    </row>
    <row r="5939">
      <c r="F5939" s="653" t="n"/>
    </row>
    <row r="5940">
      <c r="F5940" s="653" t="n"/>
    </row>
    <row r="5941">
      <c r="F5941" s="653" t="n"/>
    </row>
    <row r="5942">
      <c r="F5942" s="653" t="n"/>
    </row>
    <row r="5943">
      <c r="F5943" s="653" t="n"/>
    </row>
    <row r="5944">
      <c r="F5944" s="653" t="n"/>
    </row>
    <row r="5945">
      <c r="F5945" s="653" t="n"/>
    </row>
    <row r="5946">
      <c r="F5946" s="653" t="n"/>
    </row>
    <row r="5947">
      <c r="F5947" s="653" t="n"/>
    </row>
    <row r="5948">
      <c r="F5948" s="653" t="n"/>
    </row>
    <row r="5949">
      <c r="F5949" s="653" t="n"/>
    </row>
    <row r="5950">
      <c r="F5950" s="653" t="n"/>
    </row>
    <row r="5951">
      <c r="F5951" s="653" t="n"/>
    </row>
    <row r="5952">
      <c r="F5952" s="653" t="n"/>
    </row>
    <row r="5953">
      <c r="F5953" s="653" t="n"/>
    </row>
    <row r="5954">
      <c r="F5954" s="653" t="n"/>
    </row>
    <row r="5955">
      <c r="F5955" s="653" t="n"/>
    </row>
    <row r="5956">
      <c r="F5956" s="653" t="n"/>
    </row>
    <row r="5957">
      <c r="F5957" s="653" t="n"/>
    </row>
    <row r="5958">
      <c r="F5958" s="653" t="n"/>
    </row>
    <row r="5959">
      <c r="F5959" s="653" t="n"/>
    </row>
    <row r="5960">
      <c r="F5960" s="653" t="n"/>
    </row>
    <row r="5961">
      <c r="F5961" s="653" t="n"/>
    </row>
    <row r="5962">
      <c r="F5962" s="653" t="n"/>
    </row>
    <row r="5963">
      <c r="F5963" s="653" t="n"/>
    </row>
    <row r="5964">
      <c r="F5964" s="653" t="n"/>
    </row>
    <row r="5965">
      <c r="F5965" s="653" t="n"/>
    </row>
    <row r="5966">
      <c r="F5966" s="653" t="n"/>
    </row>
    <row r="5967">
      <c r="F5967" s="653" t="n"/>
    </row>
    <row r="5968">
      <c r="F5968" s="653" t="n"/>
    </row>
    <row r="5969">
      <c r="F5969" s="653" t="n"/>
    </row>
    <row r="5970">
      <c r="F5970" s="653" t="n"/>
    </row>
    <row r="5971">
      <c r="F5971" s="653" t="n"/>
    </row>
    <row r="5972">
      <c r="F5972" s="653" t="n"/>
    </row>
    <row r="5973">
      <c r="F5973" s="653" t="n"/>
    </row>
    <row r="5974">
      <c r="F5974" s="653" t="n"/>
    </row>
    <row r="5975">
      <c r="F5975" s="653" t="n"/>
    </row>
    <row r="5976">
      <c r="F5976" s="653" t="n"/>
    </row>
    <row r="5977">
      <c r="F5977" s="653" t="n"/>
    </row>
    <row r="5978">
      <c r="F5978" s="653" t="n"/>
    </row>
    <row r="5979">
      <c r="F5979" s="653" t="n"/>
    </row>
    <row r="5980">
      <c r="F5980" s="653" t="n"/>
    </row>
    <row r="5981">
      <c r="F5981" s="653" t="n"/>
    </row>
    <row r="5982">
      <c r="F5982" s="653" t="n"/>
    </row>
    <row r="5983">
      <c r="F5983" s="653" t="n"/>
    </row>
    <row r="5984">
      <c r="F5984" s="653" t="n"/>
    </row>
    <row r="5985">
      <c r="F5985" s="653" t="n"/>
    </row>
    <row r="5986">
      <c r="F5986" s="653" t="n"/>
    </row>
    <row r="5987">
      <c r="F5987" s="653" t="n"/>
    </row>
    <row r="5988">
      <c r="F5988" s="653" t="n"/>
    </row>
    <row r="5989">
      <c r="F5989" s="653" t="n"/>
    </row>
    <row r="5990">
      <c r="F5990" s="653" t="n"/>
    </row>
    <row r="5991">
      <c r="F5991" s="653" t="n"/>
    </row>
    <row r="5992">
      <c r="F5992" s="653" t="n"/>
    </row>
    <row r="5993">
      <c r="F5993" s="653" t="n"/>
    </row>
    <row r="5994">
      <c r="F5994" s="653" t="n"/>
    </row>
    <row r="5995">
      <c r="F5995" s="653" t="n"/>
    </row>
    <row r="5996">
      <c r="F5996" s="653" t="n"/>
    </row>
    <row r="5997">
      <c r="F5997" s="653" t="n"/>
    </row>
    <row r="5998">
      <c r="F5998" s="653" t="n"/>
    </row>
    <row r="5999">
      <c r="F5999" s="653" t="n"/>
    </row>
    <row r="6000">
      <c r="F6000" s="653" t="n"/>
    </row>
    <row r="6001">
      <c r="F6001" s="653" t="n"/>
    </row>
    <row r="6002">
      <c r="F6002" s="653" t="n"/>
    </row>
    <row r="6003">
      <c r="F6003" s="653" t="n"/>
    </row>
    <row r="6004">
      <c r="F6004" s="653" t="n"/>
    </row>
    <row r="6005">
      <c r="F6005" s="653" t="n"/>
    </row>
    <row r="6006">
      <c r="F6006" s="653" t="n"/>
    </row>
    <row r="6007">
      <c r="F6007" s="653" t="n"/>
    </row>
    <row r="6008">
      <c r="F6008" s="653" t="n"/>
    </row>
    <row r="6009">
      <c r="F6009" s="653" t="n"/>
    </row>
    <row r="6010">
      <c r="F6010" s="653" t="n"/>
    </row>
    <row r="6011">
      <c r="F6011" s="653" t="n"/>
    </row>
    <row r="6012">
      <c r="F6012" s="653" t="n"/>
    </row>
    <row r="6013">
      <c r="F6013" s="653" t="n"/>
    </row>
    <row r="6014">
      <c r="F6014" s="653" t="n"/>
    </row>
    <row r="6015">
      <c r="F6015" s="653" t="n"/>
    </row>
    <row r="6016">
      <c r="F6016" s="653" t="n"/>
    </row>
    <row r="6017">
      <c r="F6017" s="653" t="n"/>
    </row>
    <row r="6018">
      <c r="F6018" s="653" t="n"/>
    </row>
    <row r="6019">
      <c r="F6019" s="653" t="n"/>
    </row>
    <row r="6020">
      <c r="F6020" s="653" t="n"/>
    </row>
    <row r="6021">
      <c r="F6021" s="653" t="n"/>
    </row>
    <row r="6022">
      <c r="F6022" s="653" t="n"/>
    </row>
    <row r="6023">
      <c r="F6023" s="653" t="n"/>
    </row>
    <row r="6024">
      <c r="F6024" s="653" t="n"/>
    </row>
    <row r="6025">
      <c r="F6025" s="653" t="n"/>
    </row>
    <row r="6026">
      <c r="F6026" s="653" t="n"/>
    </row>
    <row r="6027">
      <c r="F6027" s="653" t="n"/>
    </row>
    <row r="6028">
      <c r="F6028" s="653" t="n"/>
    </row>
    <row r="6029">
      <c r="F6029" s="653" t="n"/>
    </row>
    <row r="6030">
      <c r="F6030" s="653" t="n"/>
    </row>
    <row r="6031">
      <c r="F6031" s="653" t="n"/>
    </row>
    <row r="6032">
      <c r="F6032" s="653" t="n"/>
    </row>
    <row r="6033">
      <c r="F6033" s="653" t="n"/>
    </row>
    <row r="6034">
      <c r="F6034" s="653" t="n"/>
    </row>
    <row r="6035">
      <c r="F6035" s="653" t="n"/>
    </row>
    <row r="6036">
      <c r="F6036" s="653" t="n"/>
    </row>
    <row r="6037">
      <c r="F6037" s="653" t="n"/>
    </row>
    <row r="6038">
      <c r="F6038" s="653" t="n"/>
    </row>
    <row r="6039">
      <c r="F6039" s="653" t="n"/>
    </row>
    <row r="6040">
      <c r="F6040" s="653" t="n"/>
    </row>
    <row r="6041">
      <c r="F6041" s="653" t="n"/>
    </row>
    <row r="6042">
      <c r="F6042" s="653" t="n"/>
    </row>
    <row r="6043">
      <c r="F6043" s="653" t="n"/>
    </row>
    <row r="6044">
      <c r="F6044" s="653" t="n"/>
    </row>
    <row r="6045">
      <c r="F6045" s="653" t="n"/>
    </row>
    <row r="6046">
      <c r="F6046" s="653" t="n"/>
    </row>
    <row r="6047">
      <c r="F6047" s="653" t="n"/>
    </row>
    <row r="6048">
      <c r="F6048" s="653" t="n"/>
    </row>
    <row r="6049">
      <c r="F6049" s="653" t="n"/>
    </row>
    <row r="6050">
      <c r="F6050" s="653" t="n"/>
    </row>
    <row r="6051">
      <c r="F6051" s="653" t="n"/>
    </row>
    <row r="6052">
      <c r="F6052" s="653" t="n"/>
    </row>
    <row r="6053">
      <c r="F6053" s="653" t="n"/>
    </row>
    <row r="6054">
      <c r="F6054" s="653" t="n"/>
    </row>
    <row r="6055">
      <c r="F6055" s="653" t="n"/>
    </row>
    <row r="6056">
      <c r="F6056" s="653" t="n"/>
    </row>
    <row r="6057">
      <c r="F6057" s="653" t="n"/>
    </row>
    <row r="6058">
      <c r="F6058" s="653" t="n"/>
    </row>
    <row r="6059">
      <c r="F6059" s="653" t="n"/>
    </row>
    <row r="6060">
      <c r="F6060" s="653" t="n"/>
    </row>
    <row r="6061">
      <c r="F6061" s="653" t="n"/>
    </row>
    <row r="6062">
      <c r="F6062" s="653" t="n"/>
    </row>
    <row r="6063">
      <c r="F6063" s="653" t="n"/>
    </row>
    <row r="6064">
      <c r="F6064" s="653" t="n"/>
    </row>
    <row r="6065">
      <c r="F6065" s="653" t="n"/>
    </row>
    <row r="6066">
      <c r="F6066" s="653" t="n"/>
    </row>
    <row r="6067">
      <c r="F6067" s="653" t="n"/>
    </row>
    <row r="6068">
      <c r="F6068" s="653" t="n"/>
    </row>
    <row r="6069">
      <c r="F6069" s="653" t="n"/>
    </row>
    <row r="6070">
      <c r="F6070" s="653" t="n"/>
    </row>
    <row r="6071">
      <c r="F6071" s="653" t="n"/>
    </row>
    <row r="6072">
      <c r="F6072" s="653" t="n"/>
    </row>
    <row r="6073">
      <c r="F6073" s="653" t="n"/>
    </row>
    <row r="6074">
      <c r="F6074" s="653" t="n"/>
    </row>
    <row r="6075">
      <c r="F6075" s="653" t="n"/>
    </row>
    <row r="6076">
      <c r="F6076" s="653" t="n"/>
    </row>
    <row r="6077">
      <c r="F6077" s="653" t="n"/>
    </row>
    <row r="6078">
      <c r="F6078" s="653" t="n"/>
    </row>
    <row r="6079">
      <c r="F6079" s="653" t="n"/>
    </row>
    <row r="6080">
      <c r="F6080" s="653" t="n"/>
    </row>
    <row r="6081">
      <c r="F6081" s="653" t="n"/>
    </row>
    <row r="6082">
      <c r="F6082" s="653" t="n"/>
    </row>
    <row r="6083">
      <c r="F6083" s="653" t="n"/>
    </row>
    <row r="6084">
      <c r="F6084" s="653" t="n"/>
    </row>
    <row r="6085">
      <c r="F6085" s="653" t="n"/>
    </row>
    <row r="6086">
      <c r="F6086" s="653" t="n"/>
    </row>
    <row r="6087">
      <c r="F6087" s="653" t="n"/>
    </row>
    <row r="6088">
      <c r="F6088" s="653" t="n"/>
    </row>
    <row r="6089">
      <c r="F6089" s="653" t="n"/>
    </row>
    <row r="6090">
      <c r="F6090" s="653" t="n"/>
    </row>
    <row r="6091">
      <c r="F6091" s="653" t="n"/>
    </row>
    <row r="6092">
      <c r="F6092" s="653" t="n"/>
    </row>
    <row r="6093">
      <c r="F6093" s="653" t="n"/>
    </row>
    <row r="6094">
      <c r="F6094" s="653" t="n"/>
    </row>
    <row r="6095">
      <c r="F6095" s="653" t="n"/>
    </row>
    <row r="6096">
      <c r="F6096" s="653" t="n"/>
    </row>
    <row r="6097">
      <c r="F6097" s="653" t="n"/>
    </row>
    <row r="6098">
      <c r="F6098" s="653" t="n"/>
    </row>
    <row r="6099">
      <c r="F6099" s="653" t="n"/>
    </row>
    <row r="6100">
      <c r="F6100" s="653" t="n"/>
    </row>
    <row r="6101">
      <c r="F6101" s="653" t="n"/>
    </row>
    <row r="6102">
      <c r="F6102" s="653" t="n"/>
    </row>
    <row r="6103">
      <c r="F6103" s="653" t="n"/>
    </row>
    <row r="6104">
      <c r="F6104" s="653" t="n"/>
    </row>
    <row r="6105">
      <c r="F6105" s="653" t="n"/>
    </row>
    <row r="6106">
      <c r="F6106" s="653" t="n"/>
    </row>
    <row r="6107">
      <c r="F6107" s="653" t="n"/>
    </row>
    <row r="6108">
      <c r="F6108" s="653" t="n"/>
    </row>
    <row r="6109">
      <c r="F6109" s="653" t="n"/>
    </row>
    <row r="6110">
      <c r="F6110" s="653" t="n"/>
    </row>
    <row r="6111">
      <c r="F6111" s="653" t="n"/>
    </row>
    <row r="6112">
      <c r="F6112" s="653" t="n"/>
    </row>
    <row r="6113">
      <c r="F6113" s="653" t="n"/>
    </row>
    <row r="6114">
      <c r="F6114" s="653" t="n"/>
    </row>
    <row r="6115">
      <c r="F6115" s="653" t="n"/>
    </row>
    <row r="6116">
      <c r="F6116" s="653" t="n"/>
    </row>
    <row r="6117">
      <c r="F6117" s="653" t="n"/>
    </row>
    <row r="6118">
      <c r="F6118" s="653" t="n"/>
    </row>
    <row r="6119">
      <c r="F6119" s="653" t="n"/>
    </row>
    <row r="6120">
      <c r="F6120" s="653" t="n"/>
    </row>
    <row r="6121">
      <c r="F6121" s="653" t="n"/>
    </row>
    <row r="6122">
      <c r="F6122" s="653" t="n"/>
    </row>
    <row r="6123">
      <c r="F6123" s="653" t="n"/>
    </row>
    <row r="6124">
      <c r="F6124" s="653" t="n"/>
    </row>
    <row r="6125">
      <c r="F6125" s="653" t="n"/>
    </row>
    <row r="6126">
      <c r="F6126" s="653" t="n"/>
    </row>
    <row r="6127">
      <c r="F6127" s="653" t="n"/>
    </row>
    <row r="6128">
      <c r="F6128" s="653" t="n"/>
    </row>
    <row r="6129">
      <c r="F6129" s="653" t="n"/>
    </row>
    <row r="6130">
      <c r="F6130" s="653" t="n"/>
    </row>
    <row r="6131">
      <c r="F6131" s="653" t="n"/>
    </row>
    <row r="6132">
      <c r="F6132" s="653" t="n"/>
    </row>
    <row r="6133">
      <c r="F6133" s="653" t="n"/>
    </row>
    <row r="6134">
      <c r="F6134" s="653" t="n"/>
    </row>
    <row r="6135">
      <c r="F6135" s="653" t="n"/>
    </row>
    <row r="6136">
      <c r="F6136" s="653" t="n"/>
    </row>
    <row r="6137">
      <c r="F6137" s="653" t="n"/>
    </row>
    <row r="6138">
      <c r="F6138" s="653" t="n"/>
    </row>
    <row r="6139">
      <c r="F6139" s="653" t="n"/>
    </row>
    <row r="6140">
      <c r="F6140" s="653" t="n"/>
    </row>
    <row r="6141">
      <c r="F6141" s="653" t="n"/>
    </row>
    <row r="6142">
      <c r="F6142" s="653" t="n"/>
    </row>
    <row r="6143">
      <c r="F6143" s="653" t="n"/>
    </row>
    <row r="6144">
      <c r="F6144" s="653" t="n"/>
    </row>
    <row r="6145">
      <c r="F6145" s="653" t="n"/>
    </row>
    <row r="6146">
      <c r="F6146" s="653" t="n"/>
    </row>
    <row r="6147">
      <c r="F6147" s="653" t="n"/>
    </row>
    <row r="6148">
      <c r="F6148" s="653" t="n"/>
    </row>
    <row r="6149">
      <c r="F6149" s="653" t="n"/>
    </row>
    <row r="6150">
      <c r="F6150" s="653" t="n"/>
    </row>
    <row r="6151">
      <c r="F6151" s="653" t="n"/>
    </row>
    <row r="6152">
      <c r="F6152" s="653" t="n"/>
    </row>
    <row r="6153">
      <c r="F6153" s="653" t="n"/>
    </row>
    <row r="6154">
      <c r="F6154" s="653" t="n"/>
    </row>
    <row r="6155">
      <c r="F6155" s="653" t="n"/>
    </row>
    <row r="6156">
      <c r="F6156" s="653" t="n"/>
    </row>
    <row r="6157">
      <c r="F6157" s="653" t="n"/>
    </row>
    <row r="6158">
      <c r="F6158" s="653" t="n"/>
    </row>
    <row r="6159">
      <c r="F6159" s="653" t="n"/>
    </row>
    <row r="6160">
      <c r="F6160" s="653" t="n"/>
    </row>
    <row r="6161">
      <c r="F6161" s="653" t="n"/>
    </row>
    <row r="6162">
      <c r="F6162" s="653" t="n"/>
    </row>
    <row r="6163">
      <c r="F6163" s="653" t="n"/>
    </row>
    <row r="6164">
      <c r="F6164" s="653" t="n"/>
    </row>
    <row r="6165">
      <c r="F6165" s="653" t="n"/>
    </row>
    <row r="6166">
      <c r="F6166" s="653" t="n"/>
    </row>
    <row r="6167">
      <c r="F6167" s="653" t="n"/>
    </row>
    <row r="6168">
      <c r="F6168" s="653" t="n"/>
    </row>
    <row r="6169">
      <c r="F6169" s="653" t="n"/>
    </row>
    <row r="6170">
      <c r="F6170" s="653" t="n"/>
    </row>
    <row r="6171">
      <c r="F6171" s="653" t="n"/>
    </row>
    <row r="6172">
      <c r="F6172" s="653" t="n"/>
    </row>
    <row r="6173">
      <c r="F6173" s="653" t="n"/>
    </row>
    <row r="6174">
      <c r="F6174" s="653" t="n"/>
    </row>
    <row r="6175">
      <c r="F6175" s="653" t="n"/>
    </row>
    <row r="6176">
      <c r="F6176" s="653" t="n"/>
    </row>
    <row r="6177">
      <c r="F6177" s="653" t="n"/>
    </row>
    <row r="6178">
      <c r="F6178" s="653" t="n"/>
    </row>
    <row r="6179">
      <c r="F6179" s="653" t="n"/>
    </row>
    <row r="6180">
      <c r="F6180" s="653" t="n"/>
    </row>
    <row r="6181">
      <c r="F6181" s="653" t="n"/>
    </row>
    <row r="6182">
      <c r="F6182" s="653" t="n"/>
    </row>
    <row r="6183">
      <c r="F6183" s="653" t="n"/>
    </row>
    <row r="6184">
      <c r="F6184" s="653" t="n"/>
    </row>
    <row r="6185">
      <c r="F6185" s="653" t="n"/>
    </row>
    <row r="6186">
      <c r="F6186" s="653" t="n"/>
    </row>
    <row r="6187">
      <c r="F6187" s="653" t="n"/>
    </row>
    <row r="6188">
      <c r="F6188" s="653" t="n"/>
    </row>
    <row r="6189">
      <c r="F6189" s="653" t="n"/>
    </row>
    <row r="6190">
      <c r="F6190" s="653" t="n"/>
    </row>
    <row r="6191">
      <c r="F6191" s="653" t="n"/>
    </row>
    <row r="6192">
      <c r="F6192" s="653" t="n"/>
    </row>
    <row r="6193">
      <c r="F6193" s="653" t="n"/>
    </row>
    <row r="6194">
      <c r="F6194" s="653" t="n"/>
    </row>
    <row r="6195">
      <c r="F6195" s="653" t="n"/>
    </row>
    <row r="6196">
      <c r="F6196" s="653" t="n"/>
    </row>
    <row r="6197">
      <c r="F6197" s="653" t="n"/>
    </row>
    <row r="6198">
      <c r="F6198" s="653" t="n"/>
    </row>
    <row r="6199">
      <c r="F6199" s="653" t="n"/>
    </row>
    <row r="6200">
      <c r="F6200" s="653" t="n"/>
    </row>
    <row r="6201">
      <c r="F6201" s="653" t="n"/>
    </row>
    <row r="6202">
      <c r="F6202" s="653" t="n"/>
    </row>
    <row r="6203">
      <c r="F6203" s="653" t="n"/>
    </row>
    <row r="6204">
      <c r="F6204" s="653" t="n"/>
    </row>
    <row r="6205">
      <c r="F6205" s="653" t="n"/>
    </row>
    <row r="6206">
      <c r="F6206" s="653" t="n"/>
    </row>
    <row r="6207">
      <c r="F6207" s="653" t="n"/>
    </row>
    <row r="6208">
      <c r="F6208" s="653" t="n"/>
    </row>
    <row r="6209">
      <c r="F6209" s="653" t="n"/>
    </row>
    <row r="6210">
      <c r="F6210" s="653" t="n"/>
    </row>
    <row r="6211">
      <c r="F6211" s="653" t="n"/>
    </row>
    <row r="6212">
      <c r="F6212" s="653" t="n"/>
    </row>
    <row r="6213">
      <c r="F6213" s="653" t="n"/>
    </row>
    <row r="6214">
      <c r="F6214" s="653" t="n"/>
    </row>
    <row r="6215">
      <c r="F6215" s="653" t="n"/>
    </row>
    <row r="6216">
      <c r="F6216" s="653" t="n"/>
    </row>
    <row r="6217">
      <c r="F6217" s="653" t="n"/>
    </row>
    <row r="6218">
      <c r="F6218" s="653" t="n"/>
    </row>
    <row r="6219">
      <c r="F6219" s="653" t="n"/>
    </row>
    <row r="6220">
      <c r="F6220" s="653" t="n"/>
    </row>
    <row r="6221">
      <c r="F6221" s="653" t="n"/>
    </row>
    <row r="6222">
      <c r="F6222" s="653" t="n"/>
    </row>
    <row r="6223">
      <c r="F6223" s="653" t="n"/>
    </row>
    <row r="6224">
      <c r="F6224" s="653" t="n"/>
    </row>
    <row r="6225">
      <c r="F6225" s="653" t="n"/>
    </row>
    <row r="6226">
      <c r="F6226" s="653" t="n"/>
    </row>
    <row r="6227">
      <c r="F6227" s="653" t="n"/>
    </row>
    <row r="6228">
      <c r="F6228" s="653" t="n"/>
    </row>
    <row r="6229">
      <c r="F6229" s="653" t="n"/>
    </row>
    <row r="6230">
      <c r="F6230" s="653" t="n"/>
    </row>
    <row r="6231">
      <c r="F6231" s="653" t="n"/>
    </row>
    <row r="6232">
      <c r="F6232" s="653" t="n"/>
    </row>
    <row r="6233">
      <c r="F6233" s="653" t="n"/>
    </row>
    <row r="6234">
      <c r="F6234" s="653" t="n"/>
    </row>
    <row r="6235">
      <c r="F6235" s="653" t="n"/>
    </row>
    <row r="6236">
      <c r="F6236" s="653" t="n"/>
    </row>
    <row r="6237">
      <c r="F6237" s="653" t="n"/>
    </row>
    <row r="6238">
      <c r="F6238" s="653" t="n"/>
    </row>
    <row r="6239">
      <c r="F6239" s="653" t="n"/>
    </row>
    <row r="6240">
      <c r="F6240" s="653" t="n"/>
    </row>
    <row r="6241">
      <c r="F6241" s="653" t="n"/>
    </row>
    <row r="6242">
      <c r="F6242" s="653" t="n"/>
    </row>
    <row r="6243">
      <c r="F6243" s="653" t="n"/>
    </row>
    <row r="6244">
      <c r="F6244" s="653" t="n"/>
    </row>
    <row r="6245">
      <c r="F6245" s="653" t="n"/>
    </row>
    <row r="6246">
      <c r="F6246" s="653" t="n"/>
    </row>
    <row r="6247">
      <c r="F6247" s="653" t="n"/>
    </row>
    <row r="6248">
      <c r="F6248" s="653" t="n"/>
    </row>
    <row r="6249">
      <c r="F6249" s="653" t="n"/>
    </row>
    <row r="6250">
      <c r="F6250" s="653" t="n"/>
    </row>
    <row r="6251">
      <c r="F6251" s="653" t="n"/>
    </row>
    <row r="6252">
      <c r="F6252" s="653" t="n"/>
    </row>
    <row r="6253">
      <c r="F6253" s="653" t="n"/>
    </row>
    <row r="6254">
      <c r="F6254" s="653" t="n"/>
    </row>
    <row r="6255">
      <c r="F6255" s="653" t="n"/>
    </row>
    <row r="6256">
      <c r="F6256" s="653" t="n"/>
    </row>
    <row r="6257">
      <c r="F6257" s="653" t="n"/>
    </row>
    <row r="6258">
      <c r="F6258" s="653" t="n"/>
    </row>
    <row r="6259">
      <c r="F6259" s="653" t="n"/>
    </row>
    <row r="6260">
      <c r="F6260" s="653" t="n"/>
    </row>
    <row r="6261">
      <c r="F6261" s="653" t="n"/>
    </row>
    <row r="6262">
      <c r="F6262" s="653" t="n"/>
    </row>
    <row r="6263">
      <c r="F6263" s="653" t="n"/>
    </row>
    <row r="6264">
      <c r="F6264" s="653" t="n"/>
    </row>
    <row r="6265">
      <c r="F6265" s="653" t="n"/>
    </row>
    <row r="6266">
      <c r="F6266" s="653" t="n"/>
    </row>
    <row r="6267">
      <c r="F6267" s="653" t="n"/>
    </row>
    <row r="6268">
      <c r="F6268" s="653" t="n"/>
    </row>
    <row r="6269">
      <c r="F6269" s="653" t="n"/>
    </row>
    <row r="6270">
      <c r="F6270" s="653" t="n"/>
    </row>
    <row r="6271">
      <c r="F6271" s="653" t="n"/>
    </row>
    <row r="6272">
      <c r="F6272" s="653" t="n"/>
    </row>
    <row r="6273">
      <c r="F6273" s="653" t="n"/>
    </row>
    <row r="6274">
      <c r="F6274" s="653" t="n"/>
    </row>
    <row r="6275">
      <c r="F6275" s="653" t="n"/>
    </row>
    <row r="6276">
      <c r="F6276" s="653" t="n"/>
    </row>
    <row r="6277">
      <c r="F6277" s="653" t="n"/>
    </row>
    <row r="6278">
      <c r="F6278" s="653" t="n"/>
    </row>
    <row r="6279">
      <c r="F6279" s="653" t="n"/>
    </row>
    <row r="6280">
      <c r="F6280" s="653" t="n"/>
    </row>
    <row r="6281">
      <c r="F6281" s="653" t="n"/>
    </row>
    <row r="6282">
      <c r="F6282" s="653" t="n"/>
    </row>
    <row r="6283">
      <c r="F6283" s="653" t="n"/>
    </row>
    <row r="6284">
      <c r="F6284" s="653" t="n"/>
    </row>
    <row r="6285">
      <c r="F6285" s="653" t="n"/>
    </row>
    <row r="6286">
      <c r="F6286" s="653" t="n"/>
    </row>
    <row r="6287">
      <c r="F6287" s="653" t="n"/>
    </row>
    <row r="6288">
      <c r="F6288" s="653" t="n"/>
    </row>
    <row r="6289">
      <c r="F6289" s="653" t="n"/>
    </row>
    <row r="6290">
      <c r="F6290" s="653" t="n"/>
    </row>
    <row r="6291">
      <c r="F6291" s="653" t="n"/>
    </row>
    <row r="6292">
      <c r="F6292" s="653" t="n"/>
    </row>
    <row r="6293">
      <c r="F6293" s="653" t="n"/>
    </row>
    <row r="6294">
      <c r="F6294" s="653" t="n"/>
    </row>
    <row r="6295">
      <c r="F6295" s="653" t="n"/>
    </row>
    <row r="6296">
      <c r="F6296" s="653" t="n"/>
    </row>
    <row r="6297">
      <c r="F6297" s="653" t="n"/>
    </row>
    <row r="6298">
      <c r="F6298" s="653" t="n"/>
    </row>
    <row r="6299">
      <c r="F6299" s="653" t="n"/>
    </row>
    <row r="6300">
      <c r="F6300" s="653" t="n"/>
    </row>
    <row r="6301">
      <c r="F6301" s="653" t="n"/>
    </row>
    <row r="6302">
      <c r="F6302" s="653" t="n"/>
    </row>
    <row r="6303">
      <c r="F6303" s="653" t="n"/>
    </row>
    <row r="6304">
      <c r="F6304" s="653" t="n"/>
    </row>
    <row r="6305">
      <c r="F6305" s="653" t="n"/>
    </row>
    <row r="6306">
      <c r="F6306" s="653" t="n"/>
    </row>
    <row r="6307">
      <c r="F6307" s="653" t="n"/>
    </row>
    <row r="6308">
      <c r="F6308" s="653" t="n"/>
    </row>
    <row r="6309">
      <c r="F6309" s="653" t="n"/>
    </row>
    <row r="6310">
      <c r="F6310" s="653" t="n"/>
    </row>
    <row r="6311">
      <c r="F6311" s="653" t="n"/>
    </row>
    <row r="6312">
      <c r="F6312" s="653" t="n"/>
    </row>
    <row r="6313">
      <c r="F6313" s="653" t="n"/>
    </row>
    <row r="6314">
      <c r="F6314" s="653" t="n"/>
    </row>
    <row r="6315">
      <c r="F6315" s="653" t="n"/>
    </row>
    <row r="6316">
      <c r="F6316" s="653" t="n"/>
    </row>
    <row r="6317">
      <c r="F6317" s="653" t="n"/>
    </row>
    <row r="6318">
      <c r="F6318" s="653" t="n"/>
    </row>
    <row r="6319">
      <c r="F6319" s="653" t="n"/>
    </row>
    <row r="6320">
      <c r="F6320" s="653" t="n"/>
    </row>
    <row r="6321">
      <c r="F6321" s="653" t="n"/>
    </row>
    <row r="6322">
      <c r="F6322" s="653" t="n"/>
    </row>
    <row r="6323">
      <c r="F6323" s="653" t="n"/>
    </row>
    <row r="6324">
      <c r="F6324" s="653" t="n"/>
    </row>
    <row r="6325">
      <c r="F6325" s="653" t="n"/>
    </row>
    <row r="6326">
      <c r="F6326" s="653" t="n"/>
    </row>
    <row r="6327">
      <c r="F6327" s="653" t="n"/>
    </row>
    <row r="6328">
      <c r="F6328" s="653" t="n"/>
    </row>
    <row r="6329">
      <c r="F6329" s="653" t="n"/>
    </row>
    <row r="6330">
      <c r="F6330" s="653" t="n"/>
    </row>
    <row r="6331">
      <c r="F6331" s="653" t="n"/>
    </row>
    <row r="6332">
      <c r="F6332" s="653" t="n"/>
    </row>
    <row r="6333">
      <c r="F6333" s="653" t="n"/>
    </row>
    <row r="6334">
      <c r="F6334" s="653" t="n"/>
    </row>
    <row r="6335">
      <c r="F6335" s="653" t="n"/>
    </row>
    <row r="6336">
      <c r="F6336" s="653" t="n"/>
    </row>
    <row r="6337">
      <c r="F6337" s="653" t="n"/>
    </row>
    <row r="6338">
      <c r="F6338" s="653" t="n"/>
    </row>
    <row r="6339">
      <c r="F6339" s="653" t="n"/>
    </row>
    <row r="6340">
      <c r="F6340" s="653" t="n"/>
    </row>
    <row r="6341">
      <c r="F6341" s="653" t="n"/>
    </row>
    <row r="6342">
      <c r="F6342" s="653" t="n"/>
    </row>
    <row r="6343">
      <c r="F6343" s="653" t="n"/>
    </row>
    <row r="6344">
      <c r="F6344" s="653" t="n"/>
    </row>
    <row r="6345">
      <c r="F6345" s="653" t="n"/>
    </row>
    <row r="6346">
      <c r="F6346" s="653" t="n"/>
    </row>
    <row r="6347">
      <c r="F6347" s="653" t="n"/>
    </row>
    <row r="6348">
      <c r="F6348" s="653" t="n"/>
    </row>
    <row r="6349">
      <c r="F6349" s="653" t="n"/>
    </row>
    <row r="6350">
      <c r="F6350" s="653" t="n"/>
    </row>
    <row r="6351">
      <c r="F6351" s="653" t="n"/>
    </row>
    <row r="6352">
      <c r="F6352" s="653" t="n"/>
    </row>
    <row r="6353">
      <c r="F6353" s="653" t="n"/>
    </row>
    <row r="6354">
      <c r="F6354" s="653" t="n"/>
    </row>
    <row r="6355">
      <c r="F6355" s="653" t="n"/>
    </row>
    <row r="6356">
      <c r="F6356" s="653" t="n"/>
    </row>
    <row r="6357">
      <c r="F6357" s="653" t="n"/>
    </row>
    <row r="6358">
      <c r="F6358" s="653" t="n"/>
    </row>
    <row r="6359">
      <c r="F6359" s="653" t="n"/>
    </row>
    <row r="6360">
      <c r="F6360" s="653" t="n"/>
    </row>
    <row r="6361">
      <c r="F6361" s="653" t="n"/>
    </row>
    <row r="6362">
      <c r="F6362" s="653" t="n"/>
    </row>
    <row r="6363">
      <c r="F6363" s="653" t="n"/>
    </row>
    <row r="6364">
      <c r="F6364" s="653" t="n"/>
    </row>
    <row r="6365">
      <c r="F6365" s="653" t="n"/>
    </row>
    <row r="6366">
      <c r="F6366" s="653" t="n"/>
    </row>
    <row r="6367">
      <c r="F6367" s="653" t="n"/>
    </row>
    <row r="6368">
      <c r="F6368" s="653" t="n"/>
    </row>
    <row r="6369">
      <c r="F6369" s="653" t="n"/>
    </row>
    <row r="6370">
      <c r="F6370" s="653" t="n"/>
    </row>
    <row r="6371">
      <c r="F6371" s="653" t="n"/>
    </row>
    <row r="6372">
      <c r="F6372" s="653" t="n"/>
    </row>
    <row r="6373">
      <c r="F6373" s="653" t="n"/>
    </row>
    <row r="6374">
      <c r="F6374" s="653" t="n"/>
    </row>
    <row r="6375">
      <c r="F6375" s="653" t="n"/>
    </row>
    <row r="6376">
      <c r="F6376" s="653" t="n"/>
    </row>
    <row r="6377">
      <c r="F6377" s="653" t="n"/>
    </row>
    <row r="6378">
      <c r="F6378" s="653" t="n"/>
    </row>
    <row r="6379">
      <c r="F6379" s="653" t="n"/>
    </row>
    <row r="6380">
      <c r="F6380" s="653" t="n"/>
    </row>
    <row r="6381">
      <c r="F6381" s="653" t="n"/>
    </row>
    <row r="6382">
      <c r="F6382" s="653" t="n"/>
    </row>
    <row r="6383">
      <c r="F6383" s="653" t="n"/>
    </row>
    <row r="6384">
      <c r="F6384" s="653" t="n"/>
    </row>
    <row r="6385">
      <c r="F6385" s="653" t="n"/>
    </row>
    <row r="6386">
      <c r="F6386" s="653" t="n"/>
    </row>
    <row r="6387">
      <c r="F6387" s="653" t="n"/>
    </row>
    <row r="6388">
      <c r="F6388" s="653" t="n"/>
    </row>
    <row r="6389">
      <c r="F6389" s="653" t="n"/>
    </row>
    <row r="6390">
      <c r="F6390" s="653" t="n"/>
    </row>
    <row r="6391">
      <c r="F6391" s="653" t="n"/>
    </row>
    <row r="6392">
      <c r="F6392" s="653" t="n"/>
    </row>
    <row r="6393">
      <c r="F6393" s="653" t="n"/>
    </row>
    <row r="6394">
      <c r="F6394" s="653" t="n"/>
    </row>
    <row r="6395">
      <c r="F6395" s="653" t="n"/>
    </row>
    <row r="6396">
      <c r="F6396" s="653" t="n"/>
    </row>
    <row r="6397">
      <c r="F6397" s="653" t="n"/>
    </row>
    <row r="6398">
      <c r="F6398" s="653" t="n"/>
    </row>
    <row r="6399">
      <c r="F6399" s="653" t="n"/>
    </row>
    <row r="6400">
      <c r="F6400" s="653" t="n"/>
    </row>
    <row r="6401">
      <c r="F6401" s="653" t="n"/>
    </row>
    <row r="6402">
      <c r="F6402" s="653" t="n"/>
    </row>
    <row r="6403">
      <c r="F6403" s="653" t="n"/>
    </row>
    <row r="6404">
      <c r="F6404" s="653" t="n"/>
    </row>
    <row r="6405">
      <c r="F6405" s="653" t="n"/>
    </row>
    <row r="6406">
      <c r="F6406" s="653" t="n"/>
    </row>
    <row r="6407">
      <c r="F6407" s="653" t="n"/>
    </row>
    <row r="6408">
      <c r="F6408" s="653" t="n"/>
    </row>
    <row r="6409">
      <c r="F6409" s="653" t="n"/>
    </row>
    <row r="6410">
      <c r="F6410" s="653" t="n"/>
    </row>
    <row r="6411">
      <c r="F6411" s="653" t="n"/>
    </row>
    <row r="6412">
      <c r="F6412" s="653" t="n"/>
    </row>
    <row r="6413">
      <c r="F6413" s="653" t="n"/>
    </row>
    <row r="6414">
      <c r="F6414" s="653" t="n"/>
    </row>
    <row r="6415">
      <c r="F6415" s="653" t="n"/>
    </row>
    <row r="6416">
      <c r="F6416" s="653" t="n"/>
    </row>
    <row r="6417">
      <c r="F6417" s="653" t="n"/>
    </row>
    <row r="6418">
      <c r="F6418" s="653" t="n"/>
    </row>
    <row r="6419">
      <c r="F6419" s="653" t="n"/>
    </row>
    <row r="6420">
      <c r="F6420" s="653" t="n"/>
    </row>
    <row r="6421">
      <c r="F6421" s="653" t="n"/>
    </row>
    <row r="6422">
      <c r="F6422" s="653" t="n"/>
    </row>
    <row r="6423">
      <c r="F6423" s="653" t="n"/>
    </row>
    <row r="6424">
      <c r="F6424" s="653" t="n"/>
    </row>
    <row r="6425">
      <c r="F6425" s="653" t="n"/>
    </row>
    <row r="6426">
      <c r="F6426" s="653" t="n"/>
    </row>
    <row r="6427">
      <c r="F6427" s="653" t="n"/>
    </row>
    <row r="6428">
      <c r="F6428" s="653" t="n"/>
    </row>
    <row r="6429">
      <c r="F6429" s="653" t="n"/>
    </row>
    <row r="6430">
      <c r="F6430" s="653" t="n"/>
    </row>
    <row r="6431">
      <c r="F6431" s="653" t="n"/>
    </row>
    <row r="6432">
      <c r="F6432" s="653" t="n"/>
    </row>
    <row r="6433">
      <c r="F6433" s="653" t="n"/>
    </row>
    <row r="6434">
      <c r="F6434" s="653" t="n"/>
    </row>
    <row r="6435">
      <c r="F6435" s="653" t="n"/>
    </row>
    <row r="6436">
      <c r="F6436" s="653" t="n"/>
    </row>
    <row r="6437">
      <c r="F6437" s="653" t="n"/>
    </row>
    <row r="6438">
      <c r="F6438" s="653" t="n"/>
    </row>
    <row r="6439">
      <c r="F6439" s="653" t="n"/>
    </row>
    <row r="6440">
      <c r="F6440" s="653" t="n"/>
    </row>
    <row r="6441">
      <c r="F6441" s="653" t="n"/>
    </row>
    <row r="6442">
      <c r="F6442" s="653" t="n"/>
    </row>
    <row r="6443">
      <c r="F6443" s="653" t="n"/>
    </row>
    <row r="6444">
      <c r="F6444" s="653" t="n"/>
    </row>
    <row r="6445">
      <c r="F6445" s="653" t="n"/>
    </row>
    <row r="6446">
      <c r="F6446" s="653" t="n"/>
    </row>
    <row r="6447">
      <c r="F6447" s="653" t="n"/>
    </row>
    <row r="6448">
      <c r="F6448" s="653" t="n"/>
    </row>
    <row r="6449">
      <c r="F6449" s="653" t="n"/>
    </row>
    <row r="6450">
      <c r="F6450" s="653" t="n"/>
    </row>
    <row r="6451">
      <c r="F6451" s="653" t="n"/>
    </row>
    <row r="6452">
      <c r="F6452" s="653" t="n"/>
    </row>
    <row r="6453">
      <c r="F6453" s="653" t="n"/>
    </row>
    <row r="6454">
      <c r="F6454" s="653" t="n"/>
    </row>
    <row r="6455">
      <c r="F6455" s="653" t="n"/>
    </row>
    <row r="6456">
      <c r="F6456" s="653" t="n"/>
    </row>
    <row r="6457">
      <c r="F6457" s="653" t="n"/>
    </row>
    <row r="6458">
      <c r="F6458" s="653" t="n"/>
    </row>
    <row r="6459">
      <c r="F6459" s="653" t="n"/>
    </row>
    <row r="6460">
      <c r="F6460" s="653" t="n"/>
    </row>
    <row r="6461">
      <c r="F6461" s="653" t="n"/>
    </row>
    <row r="6462">
      <c r="F6462" s="653" t="n"/>
    </row>
    <row r="6463">
      <c r="F6463" s="653" t="n"/>
    </row>
    <row r="6464">
      <c r="F6464" s="653" t="n"/>
    </row>
    <row r="6465">
      <c r="F6465" s="653" t="n"/>
    </row>
    <row r="6466">
      <c r="F6466" s="653" t="n"/>
    </row>
    <row r="6467">
      <c r="F6467" s="653" t="n"/>
    </row>
    <row r="6468">
      <c r="F6468" s="653" t="n"/>
    </row>
    <row r="6469">
      <c r="F6469" s="653" t="n"/>
    </row>
    <row r="6470">
      <c r="F6470" s="653" t="n"/>
    </row>
    <row r="6471">
      <c r="F6471" s="653" t="n"/>
    </row>
    <row r="6472">
      <c r="F6472" s="653" t="n"/>
    </row>
    <row r="6473">
      <c r="F6473" s="653" t="n"/>
    </row>
    <row r="6474">
      <c r="F6474" s="653" t="n"/>
    </row>
    <row r="6475">
      <c r="F6475" s="653" t="n"/>
    </row>
    <row r="6476">
      <c r="F6476" s="653" t="n"/>
    </row>
    <row r="6477">
      <c r="F6477" s="653" t="n"/>
    </row>
    <row r="6478">
      <c r="F6478" s="653" t="n"/>
    </row>
    <row r="6479">
      <c r="F6479" s="653" t="n"/>
    </row>
    <row r="6480">
      <c r="F6480" s="653" t="n"/>
    </row>
    <row r="6481">
      <c r="F6481" s="653" t="n"/>
    </row>
    <row r="6482">
      <c r="F6482" s="653" t="n"/>
    </row>
    <row r="6483">
      <c r="F6483" s="653" t="n"/>
    </row>
    <row r="6484">
      <c r="F6484" s="653" t="n"/>
    </row>
    <row r="6485">
      <c r="F6485" s="653" t="n"/>
    </row>
    <row r="6486">
      <c r="F6486" s="653" t="n"/>
    </row>
    <row r="6487">
      <c r="F6487" s="653" t="n"/>
    </row>
    <row r="6488">
      <c r="F6488" s="653" t="n"/>
    </row>
    <row r="6489">
      <c r="F6489" s="653" t="n"/>
    </row>
    <row r="6490">
      <c r="F6490" s="653" t="n"/>
    </row>
    <row r="6491">
      <c r="F6491" s="653" t="n"/>
    </row>
    <row r="6492">
      <c r="F6492" s="653" t="n"/>
    </row>
    <row r="6493">
      <c r="F6493" s="653" t="n"/>
    </row>
    <row r="6494">
      <c r="F6494" s="653" t="n"/>
    </row>
    <row r="6495">
      <c r="F6495" s="653" t="n"/>
    </row>
    <row r="6496">
      <c r="F6496" s="653" t="n"/>
    </row>
    <row r="6497">
      <c r="F6497" s="653" t="n"/>
    </row>
    <row r="6498">
      <c r="F6498" s="653" t="n"/>
    </row>
    <row r="6499">
      <c r="F6499" s="653" t="n"/>
    </row>
    <row r="6500">
      <c r="F6500" s="653" t="n"/>
    </row>
    <row r="6501">
      <c r="F6501" s="653" t="n"/>
    </row>
    <row r="6502">
      <c r="F6502" s="653" t="n"/>
    </row>
    <row r="6503">
      <c r="F6503" s="653" t="n"/>
    </row>
    <row r="6504">
      <c r="F6504" s="653" t="n"/>
    </row>
    <row r="6505">
      <c r="F6505" s="653" t="n"/>
    </row>
    <row r="6506">
      <c r="F6506" s="653" t="n"/>
    </row>
    <row r="6507">
      <c r="F6507" s="653" t="n"/>
    </row>
    <row r="6508">
      <c r="F6508" s="653" t="n"/>
    </row>
    <row r="6509">
      <c r="F6509" s="653" t="n"/>
    </row>
    <row r="6510">
      <c r="F6510" s="653" t="n"/>
    </row>
    <row r="6511">
      <c r="F6511" s="653" t="n"/>
    </row>
    <row r="6512">
      <c r="F6512" s="653" t="n"/>
    </row>
    <row r="6513">
      <c r="F6513" s="653" t="n"/>
    </row>
    <row r="6514">
      <c r="F6514" s="653" t="n"/>
    </row>
    <row r="6515">
      <c r="F6515" s="653" t="n"/>
    </row>
    <row r="6516">
      <c r="F6516" s="653" t="n"/>
    </row>
    <row r="6517">
      <c r="F6517" s="653" t="n"/>
    </row>
    <row r="6518">
      <c r="F6518" s="653" t="n"/>
    </row>
    <row r="6519">
      <c r="F6519" s="653" t="n"/>
    </row>
    <row r="6520">
      <c r="F6520" s="653" t="n"/>
    </row>
    <row r="6521">
      <c r="F6521" s="653" t="n"/>
    </row>
    <row r="6522">
      <c r="F6522" s="653" t="n"/>
    </row>
    <row r="6523">
      <c r="F6523" s="653" t="n"/>
    </row>
    <row r="6524">
      <c r="F6524" s="653" t="n"/>
    </row>
    <row r="6525">
      <c r="F6525" s="653" t="n"/>
    </row>
    <row r="6526">
      <c r="F6526" s="653" t="n"/>
    </row>
    <row r="6527">
      <c r="F6527" s="653" t="n"/>
    </row>
    <row r="6528">
      <c r="F6528" s="653" t="n"/>
    </row>
    <row r="6529">
      <c r="F6529" s="653" t="n"/>
    </row>
    <row r="6530">
      <c r="F6530" s="653" t="n"/>
    </row>
    <row r="6531">
      <c r="F6531" s="653" t="n"/>
    </row>
    <row r="6532">
      <c r="F6532" s="653" t="n"/>
    </row>
    <row r="6533">
      <c r="F6533" s="653" t="n"/>
    </row>
    <row r="6534">
      <c r="F6534" s="653" t="n"/>
    </row>
    <row r="6535">
      <c r="F6535" s="653" t="n"/>
    </row>
    <row r="6536">
      <c r="F6536" s="653" t="n"/>
    </row>
    <row r="6537">
      <c r="F6537" s="653" t="n"/>
    </row>
    <row r="6538">
      <c r="F6538" s="653" t="n"/>
    </row>
    <row r="6539">
      <c r="F6539" s="653" t="n"/>
    </row>
    <row r="6540">
      <c r="F6540" s="653" t="n"/>
    </row>
    <row r="6541">
      <c r="F6541" s="653" t="n"/>
    </row>
    <row r="6542">
      <c r="F6542" s="653" t="n"/>
    </row>
    <row r="6543">
      <c r="F6543" s="653" t="n"/>
    </row>
    <row r="6544">
      <c r="F6544" s="653" t="n"/>
    </row>
    <row r="6545">
      <c r="F6545" s="653" t="n"/>
    </row>
    <row r="6546">
      <c r="F6546" s="653" t="n"/>
    </row>
    <row r="6547">
      <c r="F6547" s="653" t="n"/>
    </row>
    <row r="6548">
      <c r="F6548" s="653" t="n"/>
    </row>
    <row r="6549">
      <c r="F6549" s="653" t="n"/>
    </row>
    <row r="6550">
      <c r="F6550" s="653" t="n"/>
    </row>
    <row r="6551">
      <c r="F6551" s="653" t="n"/>
    </row>
    <row r="6552">
      <c r="F6552" s="653" t="n"/>
    </row>
    <row r="6553">
      <c r="F6553" s="653" t="n"/>
    </row>
    <row r="6554">
      <c r="F6554" s="653" t="n"/>
    </row>
    <row r="6555">
      <c r="F6555" s="653" t="n"/>
    </row>
    <row r="6556">
      <c r="F6556" s="653" t="n"/>
    </row>
    <row r="6557">
      <c r="F6557" s="653" t="n"/>
    </row>
    <row r="6558">
      <c r="F6558" s="653" t="n"/>
    </row>
    <row r="6559">
      <c r="F6559" s="653" t="n"/>
    </row>
    <row r="6560">
      <c r="F6560" s="653" t="n"/>
    </row>
    <row r="6561">
      <c r="F6561" s="653" t="n"/>
    </row>
    <row r="6562">
      <c r="F6562" s="653" t="n"/>
    </row>
    <row r="6563">
      <c r="F6563" s="653" t="n"/>
    </row>
    <row r="6564">
      <c r="F6564" s="653" t="n"/>
    </row>
    <row r="6565">
      <c r="F6565" s="653" t="n"/>
    </row>
    <row r="6566">
      <c r="F6566" s="653" t="n"/>
    </row>
    <row r="6567">
      <c r="F6567" s="653" t="n"/>
    </row>
    <row r="6568">
      <c r="F6568" s="653" t="n"/>
    </row>
    <row r="6569">
      <c r="F6569" s="653" t="n"/>
    </row>
    <row r="6570">
      <c r="F6570" s="653" t="n"/>
    </row>
    <row r="6571">
      <c r="F6571" s="653" t="n"/>
    </row>
    <row r="6572">
      <c r="F6572" s="653" t="n"/>
    </row>
    <row r="6573">
      <c r="F6573" s="653" t="n"/>
    </row>
    <row r="6574">
      <c r="F6574" s="653" t="n"/>
    </row>
    <row r="6575">
      <c r="F6575" s="653" t="n"/>
    </row>
    <row r="6576">
      <c r="F6576" s="653" t="n"/>
    </row>
    <row r="6577">
      <c r="F6577" s="653" t="n"/>
    </row>
    <row r="6578">
      <c r="F6578" s="653" t="n"/>
    </row>
    <row r="6579">
      <c r="F6579" s="653" t="n"/>
    </row>
    <row r="6580">
      <c r="F6580" s="653" t="n"/>
    </row>
    <row r="6581">
      <c r="F6581" s="653" t="n"/>
    </row>
    <row r="6582">
      <c r="F6582" s="653" t="n"/>
    </row>
    <row r="6583">
      <c r="F6583" s="653" t="n"/>
    </row>
    <row r="6584">
      <c r="F6584" s="653" t="n"/>
    </row>
    <row r="6585">
      <c r="F6585" s="653" t="n"/>
    </row>
    <row r="6586">
      <c r="F6586" s="653" t="n"/>
    </row>
    <row r="6587">
      <c r="F6587" s="653" t="n"/>
    </row>
    <row r="6588">
      <c r="F6588" s="653" t="n"/>
    </row>
    <row r="6589">
      <c r="F6589" s="653" t="n"/>
    </row>
    <row r="6590">
      <c r="F6590" s="653" t="n"/>
    </row>
    <row r="6591">
      <c r="F6591" s="653" t="n"/>
    </row>
    <row r="6592">
      <c r="F6592" s="653" t="n"/>
    </row>
    <row r="6593">
      <c r="F6593" s="653" t="n"/>
    </row>
    <row r="6594">
      <c r="F6594" s="653" t="n"/>
    </row>
    <row r="6595">
      <c r="F6595" s="653" t="n"/>
    </row>
    <row r="6596">
      <c r="F6596" s="653" t="n"/>
    </row>
    <row r="6597">
      <c r="F6597" s="653" t="n"/>
    </row>
    <row r="6598">
      <c r="F6598" s="653" t="n"/>
    </row>
    <row r="6599">
      <c r="F6599" s="653" t="n"/>
    </row>
    <row r="6600">
      <c r="F6600" s="653" t="n"/>
    </row>
    <row r="6601">
      <c r="F6601" s="653" t="n"/>
    </row>
    <row r="6602">
      <c r="F6602" s="653" t="n"/>
    </row>
    <row r="6603">
      <c r="F6603" s="653" t="n"/>
    </row>
    <row r="6604">
      <c r="F6604" s="653" t="n"/>
    </row>
    <row r="6605">
      <c r="F6605" s="653" t="n"/>
    </row>
    <row r="6606">
      <c r="F6606" s="653" t="n"/>
    </row>
    <row r="6607">
      <c r="F6607" s="653" t="n"/>
    </row>
    <row r="6608">
      <c r="F6608" s="653" t="n"/>
    </row>
    <row r="6609">
      <c r="F6609" s="653" t="n"/>
    </row>
    <row r="6610">
      <c r="F6610" s="653" t="n"/>
    </row>
    <row r="6611">
      <c r="F6611" s="653" t="n"/>
    </row>
    <row r="6612">
      <c r="F6612" s="653" t="n"/>
    </row>
    <row r="6613">
      <c r="F6613" s="653" t="n"/>
    </row>
    <row r="6614">
      <c r="F6614" s="653" t="n"/>
    </row>
    <row r="6615">
      <c r="F6615" s="653" t="n"/>
    </row>
    <row r="6616">
      <c r="F6616" s="653" t="n"/>
    </row>
    <row r="6617">
      <c r="F6617" s="653" t="n"/>
    </row>
    <row r="6618">
      <c r="F6618" s="653" t="n"/>
    </row>
    <row r="6619">
      <c r="F6619" s="653" t="n"/>
    </row>
    <row r="6620">
      <c r="F6620" s="653" t="n"/>
    </row>
    <row r="6621">
      <c r="F6621" s="653" t="n"/>
    </row>
    <row r="6622">
      <c r="F6622" s="653" t="n"/>
    </row>
    <row r="6623">
      <c r="F6623" s="653" t="n"/>
    </row>
    <row r="6624">
      <c r="F6624" s="653" t="n"/>
    </row>
    <row r="6625">
      <c r="F6625" s="653" t="n"/>
    </row>
    <row r="6626">
      <c r="F6626" s="653" t="n"/>
    </row>
    <row r="6627">
      <c r="F6627" s="653" t="n"/>
    </row>
    <row r="6628">
      <c r="F6628" s="653" t="n"/>
    </row>
    <row r="6629">
      <c r="F6629" s="653" t="n"/>
    </row>
    <row r="6630">
      <c r="F6630" s="653" t="n"/>
    </row>
    <row r="6631">
      <c r="F6631" s="653" t="n"/>
    </row>
    <row r="6632">
      <c r="F6632" s="653" t="n"/>
    </row>
    <row r="6633">
      <c r="F6633" s="653" t="n"/>
    </row>
    <row r="6634">
      <c r="F6634" s="653" t="n"/>
    </row>
    <row r="6635">
      <c r="F6635" s="653" t="n"/>
    </row>
    <row r="6636">
      <c r="F6636" s="653" t="n"/>
    </row>
    <row r="6637">
      <c r="F6637" s="653" t="n"/>
    </row>
    <row r="6638">
      <c r="F6638" s="653" t="n"/>
    </row>
    <row r="6639">
      <c r="F6639" s="653" t="n"/>
    </row>
    <row r="6640">
      <c r="F6640" s="653" t="n"/>
    </row>
    <row r="6641">
      <c r="F6641" s="653" t="n"/>
    </row>
    <row r="6642">
      <c r="F6642" s="653" t="n"/>
    </row>
    <row r="6643">
      <c r="F6643" s="653" t="n"/>
    </row>
    <row r="6644">
      <c r="F6644" s="653" t="n"/>
    </row>
    <row r="6645">
      <c r="F6645" s="653" t="n"/>
    </row>
    <row r="6646">
      <c r="F6646" s="653" t="n"/>
    </row>
    <row r="6647">
      <c r="F6647" s="653" t="n"/>
    </row>
    <row r="6648">
      <c r="F6648" s="653" t="n"/>
    </row>
    <row r="6649">
      <c r="F6649" s="653" t="n"/>
    </row>
    <row r="6650">
      <c r="F6650" s="653" t="n"/>
    </row>
    <row r="6651">
      <c r="F6651" s="653" t="n"/>
    </row>
    <row r="6652">
      <c r="F6652" s="653" t="n"/>
    </row>
    <row r="6653">
      <c r="F6653" s="653" t="n"/>
    </row>
    <row r="6654">
      <c r="F6654" s="653" t="n"/>
    </row>
    <row r="6655">
      <c r="F6655" s="653" t="n"/>
    </row>
    <row r="6656">
      <c r="F6656" s="653" t="n"/>
    </row>
    <row r="6657">
      <c r="F6657" s="653" t="n"/>
    </row>
    <row r="6658">
      <c r="F6658" s="653" t="n"/>
    </row>
    <row r="6659">
      <c r="F6659" s="653" t="n"/>
    </row>
    <row r="6660">
      <c r="F6660" s="653" t="n"/>
    </row>
    <row r="6661">
      <c r="F6661" s="653" t="n"/>
    </row>
    <row r="6662">
      <c r="F6662" s="653" t="n"/>
    </row>
    <row r="6663">
      <c r="F6663" s="653" t="n"/>
    </row>
    <row r="6664">
      <c r="F6664" s="653" t="n"/>
    </row>
    <row r="6665">
      <c r="F6665" s="653" t="n"/>
    </row>
    <row r="6666">
      <c r="F6666" s="653" t="n"/>
    </row>
    <row r="6667">
      <c r="F6667" s="653" t="n"/>
    </row>
    <row r="6668">
      <c r="F6668" s="653" t="n"/>
    </row>
    <row r="6669">
      <c r="F6669" s="653" t="n"/>
    </row>
    <row r="6670">
      <c r="F6670" s="653" t="n"/>
    </row>
    <row r="6671">
      <c r="F6671" s="653" t="n"/>
    </row>
    <row r="6672">
      <c r="F6672" s="653" t="n"/>
    </row>
    <row r="6673">
      <c r="F6673" s="653" t="n"/>
    </row>
    <row r="6674">
      <c r="F6674" s="653" t="n"/>
    </row>
    <row r="6675">
      <c r="F6675" s="653" t="n"/>
    </row>
    <row r="6676">
      <c r="F6676" s="653" t="n"/>
    </row>
    <row r="6677">
      <c r="F6677" s="653" t="n"/>
    </row>
    <row r="6678">
      <c r="F6678" s="653" t="n"/>
    </row>
    <row r="6679">
      <c r="F6679" s="653" t="n"/>
    </row>
    <row r="6680">
      <c r="F6680" s="653" t="n"/>
    </row>
    <row r="6681">
      <c r="F6681" s="653" t="n"/>
    </row>
    <row r="6682">
      <c r="F6682" s="653" t="n"/>
    </row>
    <row r="6683">
      <c r="F6683" s="653" t="n"/>
    </row>
    <row r="6684">
      <c r="F6684" s="653" t="n"/>
    </row>
    <row r="6685">
      <c r="F6685" s="653" t="n"/>
    </row>
    <row r="6686">
      <c r="F6686" s="653" t="n"/>
    </row>
    <row r="6687">
      <c r="F6687" s="653" t="n"/>
    </row>
    <row r="6688">
      <c r="F6688" s="653" t="n"/>
    </row>
    <row r="6689">
      <c r="F6689" s="653" t="n"/>
    </row>
    <row r="6690">
      <c r="F6690" s="653" t="n"/>
    </row>
    <row r="6691">
      <c r="F6691" s="653" t="n"/>
    </row>
    <row r="6692">
      <c r="F6692" s="653" t="n"/>
    </row>
    <row r="6693">
      <c r="F6693" s="653" t="n"/>
    </row>
    <row r="6694">
      <c r="F6694" s="653" t="n"/>
    </row>
    <row r="6695">
      <c r="F6695" s="653" t="n"/>
    </row>
    <row r="6696">
      <c r="F6696" s="653" t="n"/>
    </row>
    <row r="6697">
      <c r="F6697" s="653" t="n"/>
    </row>
    <row r="6698">
      <c r="F6698" s="653" t="n"/>
    </row>
    <row r="6699">
      <c r="F6699" s="653" t="n"/>
    </row>
    <row r="6700">
      <c r="F6700" s="653" t="n"/>
    </row>
    <row r="6701">
      <c r="F6701" s="653" t="n"/>
    </row>
    <row r="6702">
      <c r="F6702" s="653" t="n"/>
    </row>
    <row r="6703">
      <c r="F6703" s="653" t="n"/>
    </row>
    <row r="6704">
      <c r="F6704" s="653" t="n"/>
    </row>
    <row r="6705">
      <c r="F6705" s="653" t="n"/>
    </row>
    <row r="6706">
      <c r="F6706" s="653" t="n"/>
    </row>
    <row r="6707">
      <c r="F6707" s="653" t="n"/>
    </row>
    <row r="6708">
      <c r="F6708" s="653" t="n"/>
    </row>
    <row r="6709">
      <c r="F6709" s="653" t="n"/>
    </row>
    <row r="6710">
      <c r="F6710" s="653" t="n"/>
    </row>
    <row r="6711">
      <c r="F6711" s="653" t="n"/>
    </row>
    <row r="6712">
      <c r="F6712" s="653" t="n"/>
    </row>
    <row r="6713">
      <c r="F6713" s="653" t="n"/>
    </row>
    <row r="6714">
      <c r="F6714" s="653" t="n"/>
    </row>
    <row r="6715">
      <c r="F6715" s="653" t="n"/>
    </row>
    <row r="6716">
      <c r="F6716" s="653" t="n"/>
    </row>
    <row r="6717">
      <c r="F6717" s="653" t="n"/>
    </row>
    <row r="6718">
      <c r="F6718" s="653" t="n"/>
    </row>
    <row r="6719">
      <c r="F6719" s="653" t="n"/>
    </row>
    <row r="6720">
      <c r="F6720" s="653" t="n"/>
    </row>
    <row r="6721">
      <c r="F6721" s="653" t="n"/>
    </row>
    <row r="6722">
      <c r="F6722" s="653" t="n"/>
    </row>
    <row r="6723">
      <c r="F6723" s="653" t="n"/>
    </row>
    <row r="6724">
      <c r="F6724" s="653" t="n"/>
    </row>
    <row r="6725">
      <c r="F6725" s="653" t="n"/>
    </row>
    <row r="6726">
      <c r="F6726" s="653" t="n"/>
    </row>
    <row r="6727">
      <c r="F6727" s="653" t="n"/>
    </row>
    <row r="6728">
      <c r="F6728" s="653" t="n"/>
    </row>
    <row r="6729">
      <c r="F6729" s="653" t="n"/>
    </row>
    <row r="6730">
      <c r="F6730" s="653" t="n"/>
    </row>
    <row r="6731">
      <c r="F6731" s="653" t="n"/>
    </row>
    <row r="6732">
      <c r="F6732" s="653" t="n"/>
    </row>
    <row r="6733">
      <c r="F6733" s="653" t="n"/>
    </row>
    <row r="6734">
      <c r="F6734" s="653" t="n"/>
    </row>
    <row r="6735">
      <c r="F6735" s="653" t="n"/>
    </row>
    <row r="6736">
      <c r="F6736" s="653" t="n"/>
    </row>
    <row r="6737">
      <c r="F6737" s="653" t="n"/>
    </row>
    <row r="6738">
      <c r="F6738" s="653" t="n"/>
    </row>
    <row r="6739">
      <c r="F6739" s="653" t="n"/>
    </row>
    <row r="6740">
      <c r="F6740" s="653" t="n"/>
    </row>
    <row r="6741">
      <c r="F6741" s="653" t="n"/>
    </row>
    <row r="6742">
      <c r="F6742" s="653" t="n"/>
    </row>
    <row r="6743">
      <c r="F6743" s="653" t="n"/>
    </row>
    <row r="6744">
      <c r="F6744" s="653" t="n"/>
    </row>
    <row r="6745">
      <c r="F6745" s="653" t="n"/>
    </row>
    <row r="6746">
      <c r="F6746" s="653" t="n"/>
    </row>
    <row r="6747">
      <c r="F6747" s="653" t="n"/>
    </row>
    <row r="6748">
      <c r="F6748" s="653" t="n"/>
    </row>
    <row r="6749">
      <c r="F6749" s="653" t="n"/>
    </row>
    <row r="6750">
      <c r="F6750" s="653" t="n"/>
    </row>
    <row r="6751">
      <c r="F6751" s="653" t="n"/>
    </row>
    <row r="6752">
      <c r="F6752" s="653" t="n"/>
    </row>
    <row r="6753">
      <c r="F6753" s="653" t="n"/>
    </row>
    <row r="6754">
      <c r="F6754" s="653" t="n"/>
    </row>
    <row r="6755">
      <c r="F6755" s="653" t="n"/>
    </row>
    <row r="6756">
      <c r="F6756" s="653" t="n"/>
    </row>
    <row r="6757">
      <c r="F6757" s="653" t="n"/>
    </row>
    <row r="6758">
      <c r="F6758" s="653" t="n"/>
    </row>
    <row r="6759">
      <c r="F6759" s="653" t="n"/>
    </row>
    <row r="6760">
      <c r="F6760" s="653" t="n"/>
    </row>
    <row r="6761">
      <c r="F6761" s="653" t="n"/>
    </row>
    <row r="6762">
      <c r="F6762" s="653" t="n"/>
    </row>
    <row r="6763">
      <c r="F6763" s="653" t="n"/>
    </row>
    <row r="6764">
      <c r="F6764" s="653" t="n"/>
    </row>
    <row r="6765">
      <c r="F6765" s="653" t="n"/>
    </row>
    <row r="6766">
      <c r="F6766" s="653" t="n"/>
    </row>
    <row r="6767">
      <c r="F6767" s="653" t="n"/>
    </row>
    <row r="6768">
      <c r="F6768" s="653" t="n"/>
    </row>
    <row r="6769">
      <c r="F6769" s="653" t="n"/>
    </row>
    <row r="6770">
      <c r="F6770" s="653" t="n"/>
    </row>
    <row r="6771">
      <c r="F6771" s="653" t="n"/>
    </row>
    <row r="6772">
      <c r="F6772" s="653" t="n"/>
    </row>
    <row r="6773">
      <c r="F6773" s="653" t="n"/>
    </row>
    <row r="6774">
      <c r="F6774" s="653" t="n"/>
    </row>
    <row r="6775">
      <c r="F6775" s="653" t="n"/>
    </row>
    <row r="6776">
      <c r="F6776" s="653" t="n"/>
    </row>
    <row r="6777">
      <c r="F6777" s="653" t="n"/>
    </row>
    <row r="6778">
      <c r="F6778" s="653" t="n"/>
    </row>
    <row r="6779">
      <c r="F6779" s="653" t="n"/>
    </row>
    <row r="6780">
      <c r="F6780" s="653" t="n"/>
    </row>
    <row r="6781">
      <c r="F6781" s="653" t="n"/>
    </row>
    <row r="6782">
      <c r="F6782" s="653" t="n"/>
    </row>
    <row r="6783">
      <c r="F6783" s="653" t="n"/>
    </row>
    <row r="6784">
      <c r="F6784" s="653" t="n"/>
    </row>
    <row r="6785">
      <c r="F6785" s="653" t="n"/>
    </row>
    <row r="6786">
      <c r="F6786" s="653" t="n"/>
    </row>
    <row r="6787">
      <c r="F6787" s="653" t="n"/>
    </row>
    <row r="6788">
      <c r="F6788" s="653" t="n"/>
    </row>
    <row r="6789">
      <c r="F6789" s="653" t="n"/>
    </row>
    <row r="6790">
      <c r="F6790" s="653" t="n"/>
    </row>
    <row r="6791">
      <c r="F6791" s="653" t="n"/>
    </row>
    <row r="6792">
      <c r="F6792" s="653" t="n"/>
    </row>
    <row r="6793">
      <c r="F6793" s="653" t="n"/>
    </row>
    <row r="6794">
      <c r="F6794" s="653" t="n"/>
    </row>
    <row r="6795">
      <c r="F6795" s="653" t="n"/>
    </row>
    <row r="6796">
      <c r="F6796" s="653" t="n"/>
    </row>
    <row r="6797">
      <c r="F6797" s="653" t="n"/>
    </row>
    <row r="6798">
      <c r="F6798" s="653" t="n"/>
    </row>
    <row r="6799">
      <c r="F6799" s="653" t="n"/>
    </row>
    <row r="6800">
      <c r="F6800" s="653" t="n"/>
    </row>
    <row r="6801">
      <c r="F6801" s="653" t="n"/>
    </row>
    <row r="6802">
      <c r="F6802" s="653" t="n"/>
    </row>
    <row r="6803">
      <c r="F6803" s="653" t="n"/>
    </row>
    <row r="6804">
      <c r="F6804" s="653" t="n"/>
    </row>
    <row r="6805">
      <c r="F6805" s="653" t="n"/>
    </row>
    <row r="6806">
      <c r="F6806" s="653" t="n"/>
    </row>
    <row r="6807">
      <c r="F6807" s="653" t="n"/>
    </row>
    <row r="6808">
      <c r="F6808" s="653" t="n"/>
    </row>
    <row r="6809">
      <c r="F6809" s="653" t="n"/>
    </row>
    <row r="6810">
      <c r="F6810" s="653" t="n"/>
    </row>
    <row r="6811">
      <c r="F6811" s="653" t="n"/>
    </row>
    <row r="6812">
      <c r="F6812" s="653" t="n"/>
    </row>
    <row r="6813">
      <c r="F6813" s="653" t="n"/>
    </row>
    <row r="6814">
      <c r="F6814" s="653" t="n"/>
    </row>
    <row r="6815">
      <c r="F6815" s="653" t="n"/>
    </row>
    <row r="6816">
      <c r="F6816" s="653" t="n"/>
    </row>
    <row r="6817">
      <c r="F6817" s="653" t="n"/>
    </row>
    <row r="6818">
      <c r="F6818" s="653" t="n"/>
    </row>
    <row r="6819">
      <c r="F6819" s="653" t="n"/>
    </row>
    <row r="6820">
      <c r="F6820" s="653" t="n"/>
    </row>
    <row r="6821">
      <c r="F6821" s="653" t="n"/>
    </row>
    <row r="6822">
      <c r="F6822" s="653" t="n"/>
    </row>
    <row r="6823">
      <c r="F6823" s="653" t="n"/>
    </row>
    <row r="6824">
      <c r="F6824" s="653" t="n"/>
    </row>
    <row r="6825">
      <c r="F6825" s="653" t="n"/>
    </row>
    <row r="6826">
      <c r="F6826" s="653" t="n"/>
    </row>
    <row r="6827">
      <c r="F6827" s="653" t="n"/>
    </row>
    <row r="6828">
      <c r="F6828" s="653" t="n"/>
    </row>
    <row r="6829">
      <c r="F6829" s="653" t="n"/>
    </row>
    <row r="6830">
      <c r="F6830" s="653" t="n"/>
    </row>
    <row r="6831">
      <c r="F6831" s="653" t="n"/>
    </row>
    <row r="6832">
      <c r="F6832" s="653" t="n"/>
    </row>
    <row r="6833">
      <c r="F6833" s="653" t="n"/>
    </row>
    <row r="6834">
      <c r="F6834" s="653" t="n"/>
    </row>
    <row r="6835">
      <c r="F6835" s="653" t="n"/>
    </row>
    <row r="6836">
      <c r="F6836" s="653" t="n"/>
    </row>
    <row r="6837">
      <c r="F6837" s="653" t="n"/>
    </row>
    <row r="6838">
      <c r="F6838" s="653" t="n"/>
    </row>
    <row r="6839">
      <c r="F6839" s="653" t="n"/>
    </row>
    <row r="6840">
      <c r="F6840" s="653" t="n"/>
    </row>
    <row r="6841">
      <c r="F6841" s="653" t="n"/>
    </row>
    <row r="6842">
      <c r="F6842" s="653" t="n"/>
    </row>
    <row r="6843">
      <c r="F6843" s="653" t="n"/>
    </row>
    <row r="6844">
      <c r="F6844" s="653" t="n"/>
    </row>
    <row r="6845">
      <c r="F6845" s="653" t="n"/>
    </row>
    <row r="6846">
      <c r="F6846" s="653" t="n"/>
    </row>
    <row r="6847">
      <c r="F6847" s="653" t="n"/>
    </row>
    <row r="6848">
      <c r="F6848" s="653" t="n"/>
    </row>
    <row r="6849">
      <c r="F6849" s="653" t="n"/>
    </row>
    <row r="6850">
      <c r="F6850" s="653" t="n"/>
    </row>
    <row r="6851">
      <c r="F6851" s="653" t="n"/>
    </row>
    <row r="6852">
      <c r="F6852" s="653" t="n"/>
    </row>
    <row r="6853">
      <c r="F6853" s="653" t="n"/>
    </row>
    <row r="6854">
      <c r="F6854" s="653" t="n"/>
    </row>
    <row r="6855">
      <c r="F6855" s="653" t="n"/>
    </row>
    <row r="6856">
      <c r="F6856" s="653" t="n"/>
    </row>
    <row r="6857">
      <c r="F6857" s="653" t="n"/>
    </row>
    <row r="6858">
      <c r="F6858" s="653" t="n"/>
    </row>
    <row r="6859">
      <c r="F6859" s="653" t="n"/>
    </row>
    <row r="6860">
      <c r="F6860" s="653" t="n"/>
    </row>
    <row r="6861">
      <c r="F6861" s="653" t="n"/>
    </row>
    <row r="6862">
      <c r="F6862" s="653" t="n"/>
    </row>
    <row r="6863">
      <c r="F6863" s="653" t="n"/>
    </row>
    <row r="6864">
      <c r="F6864" s="653" t="n"/>
    </row>
    <row r="6865">
      <c r="F6865" s="653" t="n"/>
    </row>
    <row r="6866">
      <c r="F6866" s="653" t="n"/>
    </row>
    <row r="6867">
      <c r="F6867" s="653" t="n"/>
    </row>
    <row r="6868">
      <c r="F6868" s="653" t="n"/>
    </row>
    <row r="6869">
      <c r="F6869" s="653" t="n"/>
    </row>
    <row r="6870">
      <c r="F6870" s="653" t="n"/>
    </row>
    <row r="6871">
      <c r="F6871" s="653" t="n"/>
    </row>
    <row r="6872">
      <c r="F6872" s="653" t="n"/>
    </row>
    <row r="6873">
      <c r="F6873" s="653" t="n"/>
    </row>
    <row r="6874">
      <c r="F6874" s="653" t="n"/>
    </row>
    <row r="6875">
      <c r="F6875" s="653" t="n"/>
    </row>
    <row r="6876">
      <c r="F6876" s="653" t="n"/>
    </row>
    <row r="6877">
      <c r="F6877" s="653" t="n"/>
    </row>
    <row r="6878">
      <c r="F6878" s="653" t="n"/>
    </row>
    <row r="6879">
      <c r="F6879" s="653" t="n"/>
    </row>
    <row r="6880">
      <c r="F6880" s="653" t="n"/>
    </row>
    <row r="6881">
      <c r="F6881" s="653" t="n"/>
    </row>
    <row r="6882">
      <c r="F6882" s="653" t="n"/>
    </row>
    <row r="6883">
      <c r="F6883" s="653" t="n"/>
    </row>
    <row r="6884">
      <c r="F6884" s="653" t="n"/>
    </row>
    <row r="6885">
      <c r="F6885" s="653" t="n"/>
    </row>
    <row r="6886">
      <c r="F6886" s="653" t="n"/>
    </row>
    <row r="6887">
      <c r="F6887" s="653" t="n"/>
    </row>
    <row r="6888">
      <c r="F6888" s="653" t="n"/>
    </row>
    <row r="6889">
      <c r="F6889" s="653" t="n"/>
    </row>
    <row r="6890">
      <c r="F6890" s="653" t="n"/>
    </row>
    <row r="6891">
      <c r="F6891" s="653" t="n"/>
    </row>
    <row r="6892">
      <c r="F6892" s="653" t="n"/>
    </row>
    <row r="6893">
      <c r="F6893" s="653" t="n"/>
    </row>
    <row r="6894">
      <c r="F6894" s="653" t="n"/>
    </row>
    <row r="6895">
      <c r="F6895" s="653" t="n"/>
    </row>
    <row r="6896">
      <c r="F6896" s="653" t="n"/>
    </row>
    <row r="6897">
      <c r="F6897" s="653" t="n"/>
    </row>
    <row r="6898">
      <c r="F6898" s="653" t="n"/>
    </row>
    <row r="6899">
      <c r="F6899" s="653" t="n"/>
    </row>
    <row r="6900">
      <c r="F6900" s="653" t="n"/>
    </row>
    <row r="6901">
      <c r="F6901" s="653" t="n"/>
    </row>
    <row r="6902">
      <c r="F6902" s="653" t="n"/>
    </row>
    <row r="6903">
      <c r="F6903" s="653" t="n"/>
    </row>
    <row r="6904">
      <c r="F6904" s="653" t="n"/>
    </row>
    <row r="6905">
      <c r="F6905" s="653" t="n"/>
    </row>
    <row r="6906">
      <c r="F6906" s="653" t="n"/>
    </row>
    <row r="6907">
      <c r="F6907" s="653" t="n"/>
    </row>
    <row r="6908">
      <c r="F6908" s="653" t="n"/>
    </row>
    <row r="6909">
      <c r="F6909" s="653" t="n"/>
    </row>
    <row r="6910">
      <c r="F6910" s="653" t="n"/>
    </row>
    <row r="6911">
      <c r="F6911" s="653" t="n"/>
    </row>
    <row r="6912">
      <c r="F6912" s="653" t="n"/>
    </row>
    <row r="6913">
      <c r="F6913" s="653" t="n"/>
    </row>
    <row r="6914">
      <c r="F6914" s="653" t="n"/>
    </row>
    <row r="6915">
      <c r="F6915" s="653" t="n"/>
    </row>
    <row r="6916">
      <c r="F6916" s="653" t="n"/>
    </row>
    <row r="6917">
      <c r="F6917" s="653" t="n"/>
    </row>
    <row r="6918">
      <c r="F6918" s="653" t="n"/>
    </row>
    <row r="6919">
      <c r="F6919" s="653" t="n"/>
    </row>
    <row r="6920">
      <c r="F6920" s="653" t="n"/>
    </row>
    <row r="6921">
      <c r="F6921" s="653" t="n"/>
    </row>
    <row r="6922">
      <c r="F6922" s="653" t="n"/>
    </row>
    <row r="6923">
      <c r="F6923" s="653" t="n"/>
    </row>
    <row r="6924">
      <c r="F6924" s="653" t="n"/>
    </row>
    <row r="6925">
      <c r="F6925" s="653" t="n"/>
    </row>
    <row r="6926">
      <c r="F6926" s="653" t="n"/>
    </row>
    <row r="6927">
      <c r="F6927" s="653" t="n"/>
    </row>
    <row r="6928">
      <c r="F6928" s="653" t="n"/>
    </row>
    <row r="6929">
      <c r="F6929" s="653" t="n"/>
    </row>
    <row r="6930">
      <c r="F6930" s="653" t="n"/>
    </row>
    <row r="6931">
      <c r="F6931" s="653" t="n"/>
    </row>
    <row r="6932">
      <c r="F6932" s="653" t="n"/>
    </row>
    <row r="6933">
      <c r="F6933" s="653" t="n"/>
    </row>
    <row r="6934">
      <c r="F6934" s="653" t="n"/>
    </row>
    <row r="6935">
      <c r="F6935" s="653" t="n"/>
    </row>
    <row r="6936">
      <c r="F6936" s="653" t="n"/>
    </row>
    <row r="6937">
      <c r="F6937" s="653" t="n"/>
    </row>
    <row r="6938">
      <c r="F6938" s="653" t="n"/>
    </row>
    <row r="6939">
      <c r="F6939" s="653" t="n"/>
    </row>
    <row r="6940">
      <c r="F6940" s="653" t="n"/>
    </row>
    <row r="6941">
      <c r="F6941" s="653" t="n"/>
    </row>
    <row r="6942">
      <c r="F6942" s="653" t="n"/>
    </row>
    <row r="6943">
      <c r="F6943" s="653" t="n"/>
    </row>
    <row r="6944">
      <c r="F6944" s="653" t="n"/>
    </row>
    <row r="6945">
      <c r="F6945" s="653" t="n"/>
    </row>
    <row r="6946">
      <c r="F6946" s="653" t="n"/>
    </row>
    <row r="6947">
      <c r="F6947" s="653" t="n"/>
    </row>
    <row r="6948">
      <c r="F6948" s="653" t="n"/>
    </row>
    <row r="6949">
      <c r="F6949" s="653" t="n"/>
    </row>
    <row r="6950">
      <c r="F6950" s="653" t="n"/>
    </row>
    <row r="6951">
      <c r="F6951" s="653" t="n"/>
    </row>
    <row r="6952">
      <c r="F6952" s="653" t="n"/>
    </row>
    <row r="6953">
      <c r="F6953" s="653" t="n"/>
    </row>
    <row r="6954">
      <c r="F6954" s="653" t="n"/>
    </row>
    <row r="6955">
      <c r="F6955" s="653" t="n"/>
    </row>
    <row r="6956">
      <c r="F6956" s="653" t="n"/>
    </row>
    <row r="6957">
      <c r="F6957" s="653" t="n"/>
    </row>
    <row r="6958">
      <c r="F6958" s="653" t="n"/>
    </row>
    <row r="6959">
      <c r="F6959" s="653" t="n"/>
    </row>
    <row r="6960">
      <c r="F6960" s="653" t="n"/>
    </row>
    <row r="6961">
      <c r="F6961" s="653" t="n"/>
    </row>
    <row r="6962">
      <c r="F6962" s="653" t="n"/>
    </row>
    <row r="6963">
      <c r="F6963" s="653" t="n"/>
    </row>
    <row r="6964">
      <c r="F6964" s="653" t="n"/>
    </row>
    <row r="6965">
      <c r="F6965" s="653" t="n"/>
    </row>
    <row r="6966">
      <c r="F6966" s="653" t="n"/>
    </row>
    <row r="6967">
      <c r="F6967" s="653" t="n"/>
    </row>
    <row r="6968">
      <c r="F6968" s="653" t="n"/>
    </row>
    <row r="6969">
      <c r="F6969" s="653" t="n"/>
    </row>
    <row r="6970">
      <c r="F6970" s="653" t="n"/>
    </row>
    <row r="6971">
      <c r="F6971" s="653" t="n"/>
    </row>
    <row r="6972">
      <c r="F6972" s="653" t="n"/>
    </row>
    <row r="6973">
      <c r="F6973" s="653" t="n"/>
    </row>
    <row r="6974">
      <c r="F6974" s="653" t="n"/>
    </row>
    <row r="6975">
      <c r="F6975" s="653" t="n"/>
    </row>
    <row r="6976">
      <c r="F6976" s="653" t="n"/>
    </row>
    <row r="6977">
      <c r="F6977" s="653" t="n"/>
    </row>
    <row r="6978">
      <c r="F6978" s="653" t="n"/>
    </row>
    <row r="6979">
      <c r="F6979" s="653" t="n"/>
    </row>
    <row r="6980">
      <c r="F6980" s="653" t="n"/>
    </row>
    <row r="6981">
      <c r="F6981" s="653" t="n"/>
    </row>
    <row r="6982">
      <c r="F6982" s="653" t="n"/>
    </row>
    <row r="6983">
      <c r="F6983" s="653" t="n"/>
    </row>
    <row r="6984">
      <c r="F6984" s="653" t="n"/>
    </row>
    <row r="6985">
      <c r="F6985" s="653" t="n"/>
    </row>
    <row r="6986">
      <c r="F6986" s="653" t="n"/>
    </row>
    <row r="6987">
      <c r="F6987" s="653" t="n"/>
    </row>
    <row r="6988">
      <c r="F6988" s="653" t="n"/>
    </row>
    <row r="6989">
      <c r="F6989" s="653" t="n"/>
    </row>
    <row r="6990">
      <c r="F6990" s="653" t="n"/>
    </row>
    <row r="6991">
      <c r="F6991" s="653" t="n"/>
    </row>
    <row r="6992">
      <c r="F6992" s="653" t="n"/>
    </row>
    <row r="6993">
      <c r="F6993" s="653" t="n"/>
    </row>
    <row r="6994">
      <c r="F6994" s="653" t="n"/>
    </row>
    <row r="6995">
      <c r="F6995" s="653" t="n"/>
    </row>
    <row r="6996">
      <c r="F6996" s="653" t="n"/>
    </row>
    <row r="6997">
      <c r="F6997" s="653" t="n"/>
    </row>
    <row r="6998">
      <c r="F6998" s="653" t="n"/>
    </row>
    <row r="6999">
      <c r="F6999" s="653" t="n"/>
    </row>
    <row r="7000">
      <c r="F7000" s="653" t="n"/>
    </row>
    <row r="7001">
      <c r="F7001" s="653" t="n"/>
    </row>
    <row r="7002">
      <c r="F7002" s="653" t="n"/>
    </row>
    <row r="7003">
      <c r="F7003" s="653" t="n"/>
    </row>
    <row r="7004">
      <c r="F7004" s="653" t="n"/>
    </row>
    <row r="7005">
      <c r="F7005" s="653" t="n"/>
    </row>
    <row r="7006">
      <c r="F7006" s="653" t="n"/>
    </row>
    <row r="7007">
      <c r="F7007" s="653" t="n"/>
    </row>
    <row r="7008">
      <c r="F7008" s="653" t="n"/>
    </row>
    <row r="7009">
      <c r="F7009" s="653" t="n"/>
    </row>
    <row r="7010">
      <c r="F7010" s="653" t="n"/>
    </row>
    <row r="7011">
      <c r="F7011" s="653" t="n"/>
    </row>
    <row r="7012">
      <c r="F7012" s="653" t="n"/>
    </row>
    <row r="7013">
      <c r="F7013" s="653" t="n"/>
    </row>
    <row r="7014">
      <c r="F7014" s="653" t="n"/>
    </row>
    <row r="7015">
      <c r="F7015" s="653" t="n"/>
    </row>
    <row r="7016">
      <c r="F7016" s="653" t="n"/>
    </row>
    <row r="7017">
      <c r="F7017" s="653" t="n"/>
    </row>
    <row r="7018">
      <c r="F7018" s="653" t="n"/>
    </row>
    <row r="7019">
      <c r="F7019" s="653" t="n"/>
    </row>
    <row r="7020">
      <c r="F7020" s="653" t="n"/>
    </row>
    <row r="7021">
      <c r="F7021" s="653" t="n"/>
    </row>
    <row r="7022">
      <c r="F7022" s="653" t="n"/>
    </row>
    <row r="7023">
      <c r="F7023" s="653" t="n"/>
    </row>
    <row r="7024">
      <c r="F7024" s="653" t="n"/>
    </row>
    <row r="7025">
      <c r="F7025" s="653" t="n"/>
    </row>
    <row r="7026">
      <c r="F7026" s="653" t="n"/>
    </row>
    <row r="7027">
      <c r="F7027" s="653" t="n"/>
    </row>
    <row r="7028">
      <c r="F7028" s="653" t="n"/>
    </row>
    <row r="7029">
      <c r="F7029" s="653" t="n"/>
    </row>
    <row r="7030">
      <c r="F7030" s="653" t="n"/>
    </row>
    <row r="7031">
      <c r="F7031" s="653" t="n"/>
    </row>
    <row r="7032">
      <c r="F7032" s="653" t="n"/>
    </row>
    <row r="7033">
      <c r="F7033" s="653" t="n"/>
    </row>
    <row r="7034">
      <c r="F7034" s="653" t="n"/>
    </row>
    <row r="7035">
      <c r="F7035" s="653" t="n"/>
    </row>
    <row r="7036">
      <c r="F7036" s="653" t="n"/>
    </row>
    <row r="7037">
      <c r="F7037" s="653" t="n"/>
    </row>
    <row r="7038">
      <c r="F7038" s="653" t="n"/>
    </row>
    <row r="7039">
      <c r="F7039" s="653" t="n"/>
    </row>
    <row r="7040">
      <c r="F7040" s="653" t="n"/>
    </row>
    <row r="7041">
      <c r="F7041" s="653" t="n"/>
    </row>
    <row r="7042">
      <c r="F7042" s="653" t="n"/>
    </row>
    <row r="7043">
      <c r="F7043" s="653" t="n"/>
    </row>
    <row r="7044">
      <c r="F7044" s="653" t="n"/>
    </row>
    <row r="7045">
      <c r="F7045" s="653" t="n"/>
    </row>
    <row r="7046">
      <c r="F7046" s="653" t="n"/>
    </row>
    <row r="7047">
      <c r="F7047" s="653" t="n"/>
    </row>
    <row r="7048">
      <c r="F7048" s="653" t="n"/>
    </row>
    <row r="7049">
      <c r="F7049" s="653" t="n"/>
    </row>
    <row r="7050">
      <c r="F7050" s="653" t="n"/>
    </row>
    <row r="7051">
      <c r="F7051" s="653" t="n"/>
    </row>
    <row r="7052">
      <c r="F7052" s="653" t="n"/>
    </row>
    <row r="7053">
      <c r="F7053" s="653" t="n"/>
    </row>
    <row r="7054">
      <c r="F7054" s="653" t="n"/>
    </row>
    <row r="7055">
      <c r="F7055" s="653" t="n"/>
    </row>
    <row r="7056">
      <c r="F7056" s="653" t="n"/>
    </row>
    <row r="7057">
      <c r="F7057" s="653" t="n"/>
    </row>
    <row r="7058">
      <c r="F7058" s="653" t="n"/>
    </row>
    <row r="7059">
      <c r="F7059" s="653" t="n"/>
    </row>
    <row r="7060">
      <c r="F7060" s="653" t="n"/>
    </row>
    <row r="7061">
      <c r="F7061" s="653" t="n"/>
    </row>
    <row r="7062">
      <c r="F7062" s="653" t="n"/>
    </row>
    <row r="7063">
      <c r="F7063" s="653" t="n"/>
    </row>
    <row r="7064">
      <c r="F7064" s="653" t="n"/>
    </row>
    <row r="7065">
      <c r="F7065" s="653" t="n"/>
    </row>
    <row r="7066">
      <c r="F7066" s="653" t="n"/>
    </row>
    <row r="7067">
      <c r="F7067" s="653" t="n"/>
    </row>
    <row r="7068">
      <c r="F7068" s="653" t="n"/>
    </row>
    <row r="7069">
      <c r="F7069" s="653" t="n"/>
    </row>
    <row r="7070">
      <c r="F7070" s="653" t="n"/>
    </row>
    <row r="7071">
      <c r="F7071" s="653" t="n"/>
    </row>
    <row r="7072">
      <c r="F7072" s="653" t="n"/>
    </row>
    <row r="7073">
      <c r="F7073" s="653" t="n"/>
    </row>
    <row r="7074">
      <c r="F7074" s="653" t="n"/>
    </row>
    <row r="7075">
      <c r="F7075" s="653" t="n"/>
    </row>
    <row r="7076">
      <c r="F7076" s="653" t="n"/>
    </row>
    <row r="7077">
      <c r="F7077" s="653" t="n"/>
    </row>
    <row r="7078">
      <c r="F7078" s="653" t="n"/>
    </row>
    <row r="7079">
      <c r="F7079" s="653" t="n"/>
    </row>
    <row r="7080">
      <c r="F7080" s="653" t="n"/>
    </row>
    <row r="7081">
      <c r="F7081" s="653" t="n"/>
    </row>
    <row r="7082">
      <c r="F7082" s="653" t="n"/>
    </row>
    <row r="7083">
      <c r="F7083" s="653" t="n"/>
    </row>
    <row r="7084">
      <c r="F7084" s="653" t="n"/>
    </row>
    <row r="7085">
      <c r="F7085" s="653" t="n"/>
    </row>
    <row r="7086">
      <c r="F7086" s="653" t="n"/>
    </row>
    <row r="7087">
      <c r="F7087" s="653" t="n"/>
    </row>
    <row r="7088">
      <c r="F7088" s="653" t="n"/>
    </row>
    <row r="7089">
      <c r="F7089" s="653" t="n"/>
    </row>
    <row r="7090">
      <c r="F7090" s="653" t="n"/>
    </row>
    <row r="7091">
      <c r="F7091" s="653" t="n"/>
    </row>
    <row r="7092">
      <c r="F7092" s="653" t="n"/>
    </row>
    <row r="7093">
      <c r="F7093" s="653" t="n"/>
    </row>
    <row r="7094">
      <c r="F7094" s="653" t="n"/>
    </row>
    <row r="7095">
      <c r="F7095" s="653" t="n"/>
    </row>
    <row r="7096">
      <c r="F7096" s="653" t="n"/>
    </row>
    <row r="7097">
      <c r="F7097" s="653" t="n"/>
    </row>
    <row r="7098">
      <c r="F7098" s="653" t="n"/>
    </row>
    <row r="7099">
      <c r="F7099" s="653" t="n"/>
    </row>
    <row r="7100">
      <c r="F7100" s="653" t="n"/>
    </row>
    <row r="7101">
      <c r="F7101" s="653" t="n"/>
    </row>
    <row r="7102">
      <c r="F7102" s="653" t="n"/>
    </row>
    <row r="7103">
      <c r="F7103" s="653" t="n"/>
    </row>
    <row r="7104">
      <c r="F7104" s="653" t="n"/>
    </row>
    <row r="7105">
      <c r="F7105" s="653" t="n"/>
    </row>
    <row r="7106">
      <c r="F7106" s="653" t="n"/>
    </row>
    <row r="7107">
      <c r="F7107" s="653" t="n"/>
    </row>
    <row r="7108">
      <c r="F7108" s="653" t="n"/>
    </row>
    <row r="7109">
      <c r="F7109" s="653" t="n"/>
    </row>
    <row r="7110">
      <c r="F7110" s="653" t="n"/>
    </row>
    <row r="7111">
      <c r="F7111" s="653" t="n"/>
    </row>
    <row r="7112">
      <c r="F7112" s="653" t="n"/>
    </row>
    <row r="7113">
      <c r="F7113" s="653" t="n"/>
    </row>
    <row r="7114">
      <c r="F7114" s="653" t="n"/>
    </row>
    <row r="7115">
      <c r="F7115" s="653" t="n"/>
    </row>
    <row r="7116">
      <c r="F7116" s="653" t="n"/>
    </row>
    <row r="7117">
      <c r="F7117" s="653" t="n"/>
    </row>
    <row r="7118">
      <c r="F7118" s="653" t="n"/>
    </row>
    <row r="7119">
      <c r="F7119" s="653" t="n"/>
    </row>
    <row r="7120">
      <c r="F7120" s="653" t="n"/>
    </row>
    <row r="7121">
      <c r="F7121" s="653" t="n"/>
    </row>
    <row r="7122">
      <c r="F7122" s="653" t="n"/>
    </row>
    <row r="7123">
      <c r="F7123" s="653" t="n"/>
    </row>
    <row r="7124">
      <c r="F7124" s="653" t="n"/>
    </row>
    <row r="7125">
      <c r="F7125" s="653" t="n"/>
    </row>
    <row r="7126">
      <c r="F7126" s="653" t="n"/>
    </row>
    <row r="7127">
      <c r="F7127" s="653" t="n"/>
    </row>
    <row r="7128">
      <c r="F7128" s="653" t="n"/>
    </row>
    <row r="7129">
      <c r="F7129" s="653" t="n"/>
    </row>
    <row r="7130">
      <c r="F7130" s="653" t="n"/>
    </row>
    <row r="7131">
      <c r="F7131" s="653" t="n"/>
    </row>
    <row r="7132">
      <c r="F7132" s="653" t="n"/>
    </row>
    <row r="7133">
      <c r="F7133" s="653" t="n"/>
    </row>
    <row r="7134">
      <c r="F7134" s="653" t="n"/>
    </row>
    <row r="7135">
      <c r="F7135" s="653" t="n"/>
    </row>
    <row r="7136">
      <c r="F7136" s="653" t="n"/>
    </row>
    <row r="7137">
      <c r="F7137" s="653" t="n"/>
    </row>
    <row r="7138">
      <c r="F7138" s="653" t="n"/>
    </row>
    <row r="7139">
      <c r="F7139" s="653" t="n"/>
    </row>
    <row r="7140">
      <c r="F7140" s="653" t="n"/>
    </row>
    <row r="7141">
      <c r="F7141" s="653" t="n"/>
    </row>
    <row r="7142">
      <c r="F7142" s="653" t="n"/>
    </row>
    <row r="7143">
      <c r="F7143" s="653" t="n"/>
    </row>
    <row r="7144">
      <c r="F7144" s="653" t="n"/>
    </row>
    <row r="7145">
      <c r="F7145" s="653" t="n"/>
    </row>
    <row r="7146">
      <c r="F7146" s="653" t="n"/>
    </row>
    <row r="7147">
      <c r="F7147" s="653" t="n"/>
    </row>
    <row r="7148">
      <c r="F7148" s="653" t="n"/>
    </row>
    <row r="7149">
      <c r="F7149" s="653" t="n"/>
    </row>
    <row r="7150">
      <c r="F7150" s="653" t="n"/>
    </row>
    <row r="7151">
      <c r="F7151" s="653" t="n"/>
    </row>
    <row r="7152">
      <c r="F7152" s="653" t="n"/>
    </row>
    <row r="7153">
      <c r="F7153" s="653" t="n"/>
    </row>
    <row r="7154">
      <c r="F7154" s="653" t="n"/>
    </row>
    <row r="7155">
      <c r="F7155" s="653" t="n"/>
    </row>
    <row r="7156">
      <c r="F7156" s="653" t="n"/>
    </row>
    <row r="7157">
      <c r="F7157" s="653" t="n"/>
    </row>
    <row r="7158">
      <c r="F7158" s="653" t="n"/>
    </row>
    <row r="7159">
      <c r="F7159" s="653" t="n"/>
    </row>
    <row r="7160">
      <c r="F7160" s="653" t="n"/>
    </row>
    <row r="7161">
      <c r="F7161" s="653" t="n"/>
    </row>
    <row r="7162">
      <c r="F7162" s="653" t="n"/>
    </row>
    <row r="7163">
      <c r="F7163" s="653" t="n"/>
    </row>
    <row r="7164">
      <c r="F7164" s="653" t="n"/>
    </row>
    <row r="7165">
      <c r="F7165" s="653" t="n"/>
    </row>
    <row r="7166">
      <c r="F7166" s="653" t="n"/>
    </row>
    <row r="7167">
      <c r="F7167" s="653" t="n"/>
    </row>
    <row r="7168">
      <c r="F7168" s="653" t="n"/>
    </row>
    <row r="7169">
      <c r="F7169" s="653" t="n"/>
    </row>
    <row r="7170">
      <c r="F7170" s="653" t="n"/>
    </row>
    <row r="7171">
      <c r="F7171" s="653" t="n"/>
    </row>
    <row r="7172">
      <c r="F7172" s="653" t="n"/>
    </row>
    <row r="7173">
      <c r="F7173" s="653" t="n"/>
    </row>
    <row r="7174">
      <c r="F7174" s="653" t="n"/>
    </row>
    <row r="7175">
      <c r="F7175" s="653" t="n"/>
    </row>
    <row r="7176">
      <c r="F7176" s="653" t="n"/>
    </row>
    <row r="7177">
      <c r="F7177" s="653" t="n"/>
    </row>
    <row r="7178">
      <c r="F7178" s="653" t="n"/>
    </row>
    <row r="7179">
      <c r="F7179" s="653" t="n"/>
    </row>
    <row r="7180">
      <c r="F7180" s="653" t="n"/>
    </row>
    <row r="7181">
      <c r="F7181" s="653" t="n"/>
    </row>
    <row r="7182">
      <c r="F7182" s="653" t="n"/>
    </row>
    <row r="7183">
      <c r="F7183" s="653" t="n"/>
    </row>
    <row r="7184">
      <c r="F7184" s="653" t="n"/>
    </row>
    <row r="7185">
      <c r="F7185" s="653" t="n"/>
    </row>
    <row r="7186">
      <c r="F7186" s="653" t="n"/>
    </row>
    <row r="7187">
      <c r="F7187" s="653" t="n"/>
    </row>
    <row r="7188">
      <c r="F7188" s="653" t="n"/>
    </row>
    <row r="7189">
      <c r="F7189" s="653" t="n"/>
    </row>
    <row r="7190">
      <c r="F7190" s="653" t="n"/>
    </row>
    <row r="7191">
      <c r="F7191" s="653" t="n"/>
    </row>
    <row r="7192">
      <c r="F7192" s="653" t="n"/>
    </row>
    <row r="7193">
      <c r="F7193" s="653" t="n"/>
    </row>
    <row r="7194">
      <c r="F7194" s="653" t="n"/>
    </row>
    <row r="7195">
      <c r="F7195" s="653" t="n"/>
    </row>
    <row r="7196">
      <c r="F7196" s="653" t="n"/>
    </row>
    <row r="7197">
      <c r="F7197" s="653" t="n"/>
    </row>
    <row r="7198">
      <c r="F7198" s="653" t="n"/>
    </row>
    <row r="7199">
      <c r="F7199" s="653" t="n"/>
    </row>
    <row r="7200">
      <c r="F7200" s="653" t="n"/>
    </row>
    <row r="7201">
      <c r="F7201" s="653" t="n"/>
    </row>
    <row r="7202">
      <c r="F7202" s="653" t="n"/>
    </row>
    <row r="7203">
      <c r="F7203" s="653" t="n"/>
    </row>
    <row r="7204">
      <c r="F7204" s="653" t="n"/>
    </row>
    <row r="7205">
      <c r="F7205" s="653" t="n"/>
    </row>
    <row r="7206">
      <c r="F7206" s="653" t="n"/>
    </row>
    <row r="7207">
      <c r="F7207" s="653" t="n"/>
    </row>
    <row r="7208">
      <c r="F7208" s="653" t="n"/>
    </row>
    <row r="7209">
      <c r="F7209" s="653" t="n"/>
    </row>
    <row r="7210">
      <c r="F7210" s="653" t="n"/>
    </row>
    <row r="7211">
      <c r="F7211" s="653" t="n"/>
    </row>
    <row r="7212">
      <c r="F7212" s="653" t="n"/>
    </row>
    <row r="7213">
      <c r="F7213" s="653" t="n"/>
    </row>
    <row r="7214">
      <c r="F7214" s="653" t="n"/>
    </row>
    <row r="7215">
      <c r="F7215" s="653" t="n"/>
    </row>
    <row r="7216">
      <c r="F7216" s="653" t="n"/>
    </row>
    <row r="7217">
      <c r="F7217" s="653" t="n"/>
    </row>
    <row r="7218">
      <c r="F7218" s="653" t="n"/>
    </row>
    <row r="7219">
      <c r="F7219" s="653" t="n"/>
    </row>
    <row r="7220">
      <c r="F7220" s="653" t="n"/>
    </row>
    <row r="7221">
      <c r="F7221" s="653" t="n"/>
    </row>
    <row r="7222">
      <c r="F7222" s="653" t="n"/>
    </row>
    <row r="7223">
      <c r="F7223" s="653" t="n"/>
    </row>
    <row r="7224">
      <c r="F7224" s="653" t="n"/>
    </row>
    <row r="7225">
      <c r="F7225" s="653" t="n"/>
    </row>
    <row r="7226">
      <c r="F7226" s="653" t="n"/>
    </row>
    <row r="7227">
      <c r="F7227" s="653" t="n"/>
    </row>
    <row r="7228">
      <c r="F7228" s="653" t="n"/>
    </row>
    <row r="7229">
      <c r="F7229" s="653" t="n"/>
    </row>
    <row r="7230">
      <c r="F7230" s="653" t="n"/>
    </row>
    <row r="7231">
      <c r="F7231" s="653" t="n"/>
    </row>
    <row r="7232">
      <c r="F7232" s="653" t="n"/>
    </row>
    <row r="7233">
      <c r="F7233" s="653" t="n"/>
    </row>
    <row r="7234">
      <c r="F7234" s="653" t="n"/>
    </row>
    <row r="7235">
      <c r="F7235" s="653" t="n"/>
    </row>
    <row r="7236">
      <c r="F7236" s="653" t="n"/>
    </row>
    <row r="7237">
      <c r="F7237" s="653" t="n"/>
    </row>
    <row r="7238">
      <c r="F7238" s="653" t="n"/>
    </row>
    <row r="7239">
      <c r="F7239" s="653" t="n"/>
    </row>
    <row r="7240">
      <c r="F7240" s="653" t="n"/>
    </row>
    <row r="7241">
      <c r="F7241" s="653" t="n"/>
    </row>
    <row r="7242">
      <c r="F7242" s="653" t="n"/>
    </row>
    <row r="7243">
      <c r="F7243" s="653" t="n"/>
    </row>
    <row r="7244">
      <c r="F7244" s="653" t="n"/>
    </row>
    <row r="7245">
      <c r="F7245" s="653" t="n"/>
    </row>
    <row r="7246">
      <c r="F7246" s="653" t="n"/>
    </row>
    <row r="7247">
      <c r="F7247" s="653" t="n"/>
    </row>
    <row r="7248">
      <c r="F7248" s="653" t="n"/>
    </row>
    <row r="7249">
      <c r="F7249" s="653" t="n"/>
    </row>
    <row r="7250">
      <c r="F7250" s="653" t="n"/>
    </row>
    <row r="7251">
      <c r="F7251" s="653" t="n"/>
    </row>
    <row r="7252">
      <c r="F7252" s="653" t="n"/>
    </row>
    <row r="7253">
      <c r="F7253" s="653" t="n"/>
    </row>
    <row r="7254">
      <c r="F7254" s="653" t="n"/>
    </row>
    <row r="7255">
      <c r="F7255" s="653" t="n"/>
    </row>
    <row r="7256">
      <c r="F7256" s="653" t="n"/>
    </row>
    <row r="7257">
      <c r="F7257" s="653" t="n"/>
    </row>
    <row r="7258">
      <c r="F7258" s="653" t="n"/>
    </row>
    <row r="7259">
      <c r="F7259" s="653" t="n"/>
    </row>
    <row r="7260">
      <c r="F7260" s="653" t="n"/>
    </row>
    <row r="7261">
      <c r="F7261" s="653" t="n"/>
    </row>
    <row r="7262">
      <c r="F7262" s="653" t="n"/>
    </row>
    <row r="7263">
      <c r="F7263" s="653" t="n"/>
    </row>
    <row r="7264">
      <c r="F7264" s="653" t="n"/>
    </row>
    <row r="7265">
      <c r="F7265" s="653" t="n"/>
    </row>
    <row r="7266">
      <c r="F7266" s="653" t="n"/>
    </row>
    <row r="7267">
      <c r="F7267" s="653" t="n"/>
    </row>
    <row r="7268">
      <c r="F7268" s="653" t="n"/>
    </row>
    <row r="7269">
      <c r="F7269" s="653" t="n"/>
    </row>
    <row r="7270">
      <c r="F7270" s="653" t="n"/>
    </row>
    <row r="7271">
      <c r="F7271" s="653" t="n"/>
    </row>
    <row r="7272">
      <c r="F7272" s="653" t="n"/>
    </row>
    <row r="7273">
      <c r="F7273" s="653" t="n"/>
    </row>
    <row r="7274">
      <c r="F7274" s="653" t="n"/>
    </row>
    <row r="7275">
      <c r="F7275" s="653" t="n"/>
    </row>
    <row r="7276">
      <c r="F7276" s="653" t="n"/>
    </row>
    <row r="7277">
      <c r="F7277" s="653" t="n"/>
    </row>
    <row r="7278">
      <c r="F7278" s="653" t="n"/>
    </row>
    <row r="7279">
      <c r="F7279" s="653" t="n"/>
    </row>
    <row r="7280">
      <c r="F7280" s="653" t="n"/>
    </row>
    <row r="7281">
      <c r="F7281" s="653" t="n"/>
    </row>
    <row r="7282">
      <c r="F7282" s="653" t="n"/>
    </row>
    <row r="7283">
      <c r="F7283" s="653" t="n"/>
    </row>
    <row r="7284">
      <c r="F7284" s="653" t="n"/>
    </row>
    <row r="7285">
      <c r="F7285" s="653" t="n"/>
    </row>
    <row r="7286">
      <c r="F7286" s="653" t="n"/>
    </row>
    <row r="7287">
      <c r="F7287" s="653" t="n"/>
    </row>
    <row r="7288">
      <c r="F7288" s="653" t="n"/>
    </row>
    <row r="7289">
      <c r="F7289" s="653" t="n"/>
    </row>
    <row r="7290">
      <c r="F7290" s="653" t="n"/>
    </row>
    <row r="7291">
      <c r="F7291" s="653" t="n"/>
    </row>
    <row r="7292">
      <c r="F7292" s="653" t="n"/>
    </row>
    <row r="7293">
      <c r="F7293" s="653" t="n"/>
    </row>
    <row r="7294">
      <c r="F7294" s="653" t="n"/>
    </row>
    <row r="7295">
      <c r="F7295" s="653" t="n"/>
    </row>
    <row r="7296">
      <c r="F7296" s="653" t="n"/>
    </row>
    <row r="7297">
      <c r="F7297" s="653" t="n"/>
    </row>
    <row r="7298">
      <c r="F7298" s="653" t="n"/>
    </row>
    <row r="7299">
      <c r="F7299" s="653" t="n"/>
    </row>
    <row r="7300">
      <c r="F7300" s="653" t="n"/>
    </row>
    <row r="7301">
      <c r="F7301" s="653" t="n"/>
    </row>
    <row r="7302">
      <c r="F7302" s="653" t="n"/>
    </row>
    <row r="7303">
      <c r="F7303" s="653" t="n"/>
    </row>
    <row r="7304">
      <c r="F7304" s="653" t="n"/>
    </row>
    <row r="7305">
      <c r="F7305" s="653" t="n"/>
    </row>
    <row r="7306">
      <c r="F7306" s="653" t="n"/>
    </row>
    <row r="7307">
      <c r="F7307" s="653" t="n"/>
    </row>
    <row r="7308">
      <c r="F7308" s="653" t="n"/>
    </row>
    <row r="7309">
      <c r="F7309" s="653" t="n"/>
    </row>
    <row r="7310">
      <c r="F7310" s="653" t="n"/>
    </row>
    <row r="7311">
      <c r="F7311" s="653" t="n"/>
    </row>
    <row r="7312">
      <c r="F7312" s="653" t="n"/>
    </row>
    <row r="7313">
      <c r="F7313" s="653" t="n"/>
    </row>
    <row r="7314">
      <c r="F7314" s="653" t="n"/>
    </row>
    <row r="7315">
      <c r="F7315" s="653" t="n"/>
    </row>
    <row r="7316">
      <c r="F7316" s="653" t="n"/>
    </row>
    <row r="7317">
      <c r="F7317" s="653" t="n"/>
    </row>
    <row r="7318">
      <c r="F7318" s="653" t="n"/>
    </row>
    <row r="7319">
      <c r="F7319" s="653" t="n"/>
    </row>
    <row r="7320">
      <c r="F7320" s="653" t="n"/>
    </row>
    <row r="7321">
      <c r="F7321" s="653" t="n"/>
    </row>
    <row r="7322">
      <c r="F7322" s="653" t="n"/>
    </row>
    <row r="7323">
      <c r="F7323" s="653" t="n"/>
    </row>
    <row r="7324">
      <c r="F7324" s="653" t="n"/>
    </row>
    <row r="7325">
      <c r="F7325" s="653" t="n"/>
    </row>
    <row r="7326">
      <c r="F7326" s="653" t="n"/>
    </row>
    <row r="7327">
      <c r="F7327" s="653" t="n"/>
    </row>
    <row r="7328">
      <c r="F7328" s="653" t="n"/>
    </row>
    <row r="7329">
      <c r="F7329" s="653" t="n"/>
    </row>
    <row r="7330">
      <c r="F7330" s="653" t="n"/>
    </row>
    <row r="7331">
      <c r="F7331" s="653" t="n"/>
    </row>
    <row r="7332">
      <c r="F7332" s="653" t="n"/>
    </row>
    <row r="7333">
      <c r="F7333" s="653" t="n"/>
    </row>
    <row r="7334">
      <c r="F7334" s="653" t="n"/>
    </row>
    <row r="7335">
      <c r="F7335" s="653" t="n"/>
    </row>
    <row r="7336">
      <c r="F7336" s="653" t="n"/>
    </row>
    <row r="7337">
      <c r="F7337" s="653" t="n"/>
    </row>
    <row r="7338">
      <c r="F7338" s="653" t="n"/>
    </row>
    <row r="7339">
      <c r="F7339" s="653" t="n"/>
    </row>
    <row r="7340">
      <c r="F7340" s="653" t="n"/>
    </row>
    <row r="7341">
      <c r="F7341" s="653" t="n"/>
    </row>
    <row r="7342">
      <c r="F7342" s="653" t="n"/>
    </row>
    <row r="7343">
      <c r="F7343" s="653" t="n"/>
    </row>
    <row r="7344">
      <c r="F7344" s="653" t="n"/>
    </row>
    <row r="7345">
      <c r="F7345" s="653" t="n"/>
    </row>
    <row r="7346">
      <c r="F7346" s="653" t="n"/>
    </row>
    <row r="7347">
      <c r="F7347" s="653" t="n"/>
    </row>
    <row r="7348">
      <c r="F7348" s="653" t="n"/>
    </row>
    <row r="7349">
      <c r="F7349" s="653" t="n"/>
    </row>
    <row r="7350">
      <c r="F7350" s="653" t="n"/>
    </row>
    <row r="7351">
      <c r="F7351" s="653" t="n"/>
    </row>
    <row r="7352">
      <c r="F7352" s="653" t="n"/>
    </row>
    <row r="7353">
      <c r="F7353" s="653" t="n"/>
    </row>
    <row r="7354">
      <c r="F7354" s="653" t="n"/>
    </row>
    <row r="7355">
      <c r="F7355" s="653" t="n"/>
    </row>
    <row r="7356">
      <c r="F7356" s="653" t="n"/>
    </row>
    <row r="7357">
      <c r="F7357" s="653" t="n"/>
    </row>
    <row r="7358">
      <c r="F7358" s="653" t="n"/>
    </row>
    <row r="7359">
      <c r="F7359" s="653" t="n"/>
    </row>
    <row r="7360">
      <c r="F7360" s="653" t="n"/>
    </row>
    <row r="7361">
      <c r="F7361" s="653" t="n"/>
    </row>
    <row r="7362">
      <c r="F7362" s="653" t="n"/>
    </row>
    <row r="7363">
      <c r="F7363" s="653" t="n"/>
    </row>
    <row r="7364">
      <c r="F7364" s="653" t="n"/>
    </row>
    <row r="7365">
      <c r="F7365" s="653" t="n"/>
    </row>
    <row r="7366">
      <c r="F7366" s="653" t="n"/>
    </row>
    <row r="7367">
      <c r="F7367" s="653" t="n"/>
    </row>
    <row r="7368">
      <c r="F7368" s="653" t="n"/>
    </row>
    <row r="7369">
      <c r="F7369" s="653" t="n"/>
    </row>
    <row r="7370">
      <c r="F7370" s="653" t="n"/>
    </row>
    <row r="7371">
      <c r="F7371" s="653" t="n"/>
    </row>
    <row r="7372">
      <c r="F7372" s="653" t="n"/>
    </row>
    <row r="7373">
      <c r="F7373" s="653" t="n"/>
    </row>
    <row r="7374">
      <c r="F7374" s="653" t="n"/>
    </row>
    <row r="7375">
      <c r="F7375" s="653" t="n"/>
    </row>
    <row r="7376">
      <c r="F7376" s="653" t="n"/>
    </row>
    <row r="7377">
      <c r="F7377" s="653" t="n"/>
    </row>
    <row r="7378">
      <c r="F7378" s="653" t="n"/>
    </row>
    <row r="7379">
      <c r="F7379" s="653" t="n"/>
    </row>
    <row r="7380">
      <c r="F7380" s="653" t="n"/>
    </row>
    <row r="7381">
      <c r="F7381" s="653" t="n"/>
    </row>
    <row r="7382">
      <c r="F7382" s="653" t="n"/>
    </row>
    <row r="7383">
      <c r="F7383" s="653" t="n"/>
    </row>
    <row r="7384">
      <c r="F7384" s="653" t="n"/>
    </row>
    <row r="7385">
      <c r="F7385" s="653" t="n"/>
    </row>
    <row r="7386">
      <c r="F7386" s="653" t="n"/>
    </row>
    <row r="7387">
      <c r="F7387" s="653" t="n"/>
    </row>
    <row r="7388">
      <c r="F7388" s="653" t="n"/>
    </row>
    <row r="7389">
      <c r="F7389" s="653" t="n"/>
    </row>
    <row r="7390">
      <c r="F7390" s="653" t="n"/>
    </row>
    <row r="7391">
      <c r="F7391" s="653" t="n"/>
    </row>
    <row r="7392">
      <c r="F7392" s="653" t="n"/>
    </row>
    <row r="7393">
      <c r="F7393" s="653" t="n"/>
    </row>
    <row r="7394">
      <c r="F7394" s="653" t="n"/>
    </row>
    <row r="7395">
      <c r="F7395" s="653" t="n"/>
    </row>
    <row r="7396">
      <c r="F7396" s="653" t="n"/>
    </row>
    <row r="7397">
      <c r="F7397" s="653" t="n"/>
    </row>
    <row r="7398">
      <c r="F7398" s="653" t="n"/>
    </row>
    <row r="7399">
      <c r="F7399" s="653" t="n"/>
    </row>
    <row r="7400">
      <c r="F7400" s="653" t="n"/>
    </row>
    <row r="7401">
      <c r="F7401" s="653" t="n"/>
    </row>
    <row r="7402">
      <c r="F7402" s="653" t="n"/>
    </row>
    <row r="7403">
      <c r="F7403" s="653" t="n"/>
    </row>
    <row r="7404">
      <c r="F7404" s="653" t="n"/>
    </row>
    <row r="7405">
      <c r="F7405" s="653" t="n"/>
    </row>
    <row r="7406">
      <c r="F7406" s="653" t="n"/>
    </row>
    <row r="7407">
      <c r="F7407" s="653" t="n"/>
    </row>
    <row r="7408">
      <c r="F7408" s="653" t="n"/>
    </row>
    <row r="7409">
      <c r="F7409" s="653" t="n"/>
    </row>
    <row r="7410">
      <c r="F7410" s="653" t="n"/>
    </row>
    <row r="7411">
      <c r="F7411" s="653" t="n"/>
    </row>
    <row r="7412">
      <c r="F7412" s="653" t="n"/>
    </row>
    <row r="7413">
      <c r="F7413" s="653" t="n"/>
    </row>
    <row r="7414">
      <c r="F7414" s="653" t="n"/>
    </row>
    <row r="7415">
      <c r="F7415" s="653" t="n"/>
    </row>
    <row r="7416">
      <c r="F7416" s="653" t="n"/>
    </row>
    <row r="7417">
      <c r="F7417" s="653" t="n"/>
    </row>
    <row r="7418">
      <c r="F7418" s="653" t="n"/>
    </row>
    <row r="7419">
      <c r="F7419" s="653" t="n"/>
    </row>
    <row r="7420">
      <c r="F7420" s="653" t="n"/>
    </row>
    <row r="7421">
      <c r="F7421" s="653" t="n"/>
    </row>
    <row r="7422">
      <c r="F7422" s="653" t="n"/>
    </row>
    <row r="7423">
      <c r="F7423" s="653" t="n"/>
    </row>
    <row r="7424">
      <c r="F7424" s="653" t="n"/>
    </row>
    <row r="7425">
      <c r="F7425" s="653" t="n"/>
    </row>
    <row r="7426">
      <c r="F7426" s="653" t="n"/>
    </row>
    <row r="7427">
      <c r="F7427" s="653" t="n"/>
    </row>
    <row r="7428">
      <c r="F7428" s="653" t="n"/>
    </row>
    <row r="7429">
      <c r="F7429" s="653" t="n"/>
    </row>
    <row r="7430">
      <c r="F7430" s="653" t="n"/>
    </row>
    <row r="7431">
      <c r="F7431" s="653" t="n"/>
    </row>
    <row r="7432">
      <c r="F7432" s="653" t="n"/>
    </row>
    <row r="7433">
      <c r="F7433" s="653" t="n"/>
    </row>
    <row r="7434">
      <c r="F7434" s="653" t="n"/>
    </row>
    <row r="7435">
      <c r="F7435" s="653" t="n"/>
    </row>
    <row r="7436">
      <c r="F7436" s="653" t="n"/>
    </row>
    <row r="7437">
      <c r="F7437" s="653" t="n"/>
    </row>
    <row r="7438">
      <c r="F7438" s="653" t="n"/>
    </row>
    <row r="7439">
      <c r="F7439" s="653" t="n"/>
    </row>
    <row r="7440">
      <c r="F7440" s="653" t="n"/>
    </row>
    <row r="7441">
      <c r="F7441" s="653" t="n"/>
    </row>
    <row r="7442">
      <c r="F7442" s="653" t="n"/>
    </row>
    <row r="7443">
      <c r="F7443" s="653" t="n"/>
    </row>
    <row r="7444">
      <c r="F7444" s="653" t="n"/>
    </row>
    <row r="7445">
      <c r="F7445" s="653" t="n"/>
    </row>
    <row r="7446">
      <c r="F7446" s="653" t="n"/>
    </row>
    <row r="7447">
      <c r="F7447" s="653" t="n"/>
    </row>
    <row r="7448">
      <c r="F7448" s="653" t="n"/>
    </row>
    <row r="7449">
      <c r="F7449" s="653" t="n"/>
    </row>
    <row r="7450">
      <c r="F7450" s="653" t="n"/>
    </row>
    <row r="7451">
      <c r="F7451" s="653" t="n"/>
    </row>
    <row r="7452">
      <c r="F7452" s="653" t="n"/>
    </row>
    <row r="7453">
      <c r="F7453" s="653" t="n"/>
    </row>
    <row r="7454">
      <c r="F7454" s="653" t="n"/>
    </row>
    <row r="7455">
      <c r="F7455" s="653" t="n"/>
    </row>
    <row r="7456">
      <c r="F7456" s="653" t="n"/>
    </row>
    <row r="7457">
      <c r="F7457" s="653" t="n"/>
    </row>
    <row r="7458">
      <c r="F7458" s="653" t="n"/>
    </row>
    <row r="7459">
      <c r="F7459" s="653" t="n"/>
    </row>
    <row r="7460">
      <c r="F7460" s="653" t="n"/>
    </row>
    <row r="7461">
      <c r="F7461" s="653" t="n"/>
    </row>
    <row r="7462">
      <c r="F7462" s="653" t="n"/>
    </row>
    <row r="7463">
      <c r="F7463" s="653" t="n"/>
    </row>
    <row r="7464">
      <c r="F7464" s="653" t="n"/>
    </row>
    <row r="7465">
      <c r="F7465" s="653" t="n"/>
    </row>
    <row r="7466">
      <c r="F7466" s="653" t="n"/>
    </row>
    <row r="7467">
      <c r="F7467" s="653" t="n"/>
    </row>
    <row r="7468">
      <c r="F7468" s="653" t="n"/>
    </row>
    <row r="7469">
      <c r="F7469" s="653" t="n"/>
    </row>
    <row r="7470">
      <c r="F7470" s="653" t="n"/>
    </row>
    <row r="7471">
      <c r="F7471" s="653" t="n"/>
    </row>
    <row r="7472">
      <c r="F7472" s="653" t="n"/>
    </row>
    <row r="7473">
      <c r="F7473" s="653" t="n"/>
    </row>
    <row r="7474">
      <c r="F7474" s="653" t="n"/>
    </row>
    <row r="7475">
      <c r="F7475" s="653" t="n"/>
    </row>
    <row r="7476">
      <c r="F7476" s="653" t="n"/>
    </row>
    <row r="7477">
      <c r="F7477" s="653" t="n"/>
    </row>
    <row r="7478">
      <c r="F7478" s="653" t="n"/>
    </row>
    <row r="7479">
      <c r="F7479" s="653" t="n"/>
    </row>
    <row r="7480">
      <c r="F7480" s="653" t="n"/>
    </row>
    <row r="7481">
      <c r="F7481" s="653" t="n"/>
    </row>
    <row r="7482">
      <c r="F7482" s="653" t="n"/>
    </row>
    <row r="7483">
      <c r="F7483" s="653" t="n"/>
    </row>
    <row r="7484">
      <c r="F7484" s="653" t="n"/>
    </row>
    <row r="7485">
      <c r="F7485" s="653" t="n"/>
    </row>
    <row r="7486">
      <c r="F7486" s="653" t="n"/>
    </row>
    <row r="7487">
      <c r="F7487" s="653" t="n"/>
    </row>
    <row r="7488">
      <c r="F7488" s="653" t="n"/>
    </row>
    <row r="7489">
      <c r="F7489" s="653" t="n"/>
    </row>
    <row r="7490">
      <c r="F7490" s="653" t="n"/>
    </row>
    <row r="7491">
      <c r="F7491" s="653" t="n"/>
    </row>
    <row r="7492">
      <c r="F7492" s="653" t="n"/>
    </row>
    <row r="7493">
      <c r="F7493" s="653" t="n"/>
    </row>
    <row r="7494">
      <c r="F7494" s="653" t="n"/>
    </row>
    <row r="7495">
      <c r="F7495" s="653" t="n"/>
    </row>
    <row r="7496">
      <c r="F7496" s="653" t="n"/>
    </row>
    <row r="7497">
      <c r="F7497" s="653" t="n"/>
    </row>
    <row r="7498">
      <c r="F7498" s="653" t="n"/>
    </row>
    <row r="7499">
      <c r="F7499" s="653" t="n"/>
    </row>
    <row r="7500">
      <c r="F7500" s="653" t="n"/>
    </row>
    <row r="7501">
      <c r="F7501" s="653" t="n"/>
    </row>
    <row r="7502">
      <c r="F7502" s="653" t="n"/>
    </row>
    <row r="7503">
      <c r="F7503" s="653" t="n"/>
    </row>
    <row r="7504">
      <c r="F7504" s="653" t="n"/>
    </row>
    <row r="7505">
      <c r="F7505" s="653" t="n"/>
    </row>
    <row r="7506">
      <c r="F7506" s="653" t="n"/>
    </row>
    <row r="7507">
      <c r="F7507" s="653" t="n"/>
    </row>
    <row r="7508">
      <c r="F7508" s="653" t="n"/>
    </row>
    <row r="7509">
      <c r="F7509" s="653" t="n"/>
    </row>
    <row r="7510">
      <c r="F7510" s="653" t="n"/>
    </row>
    <row r="7511">
      <c r="F7511" s="653" t="n"/>
    </row>
    <row r="7512">
      <c r="F7512" s="653" t="n"/>
    </row>
    <row r="7513">
      <c r="F7513" s="653" t="n"/>
    </row>
    <row r="7514">
      <c r="F7514" s="653" t="n"/>
    </row>
    <row r="7515">
      <c r="F7515" s="653" t="n"/>
    </row>
    <row r="7516">
      <c r="F7516" s="653" t="n"/>
    </row>
    <row r="7517">
      <c r="F7517" s="653" t="n"/>
    </row>
    <row r="7518">
      <c r="F7518" s="653" t="n"/>
    </row>
    <row r="7519">
      <c r="F7519" s="653" t="n"/>
    </row>
    <row r="7520">
      <c r="F7520" s="653" t="n"/>
    </row>
    <row r="7521">
      <c r="F7521" s="653" t="n"/>
    </row>
    <row r="7522">
      <c r="F7522" s="653" t="n"/>
    </row>
    <row r="7523">
      <c r="F7523" s="653" t="n"/>
    </row>
    <row r="7524">
      <c r="F7524" s="653" t="n"/>
    </row>
    <row r="7525">
      <c r="F7525" s="653" t="n"/>
    </row>
    <row r="7526">
      <c r="F7526" s="653" t="n"/>
    </row>
    <row r="7527">
      <c r="F7527" s="653" t="n"/>
    </row>
    <row r="7528">
      <c r="F7528" s="653" t="n"/>
    </row>
    <row r="7529">
      <c r="F7529" s="653" t="n"/>
    </row>
    <row r="7530">
      <c r="F7530" s="653" t="n"/>
    </row>
    <row r="7531">
      <c r="F7531" s="653" t="n"/>
    </row>
    <row r="7532">
      <c r="F7532" s="653" t="n"/>
    </row>
    <row r="7533">
      <c r="F7533" s="653" t="n"/>
    </row>
    <row r="7534">
      <c r="F7534" s="653" t="n"/>
    </row>
    <row r="7535">
      <c r="F7535" s="653" t="n"/>
    </row>
    <row r="7536">
      <c r="F7536" s="653" t="n"/>
    </row>
    <row r="7537">
      <c r="F7537" s="653" t="n"/>
    </row>
    <row r="7538">
      <c r="F7538" s="653" t="n"/>
    </row>
    <row r="7539">
      <c r="F7539" s="653" t="n"/>
    </row>
    <row r="7540">
      <c r="F7540" s="653" t="n"/>
    </row>
    <row r="7541">
      <c r="F7541" s="653" t="n"/>
    </row>
    <row r="7542">
      <c r="F7542" s="653" t="n"/>
    </row>
    <row r="7543">
      <c r="F7543" s="653" t="n"/>
    </row>
    <row r="7544">
      <c r="F7544" s="653" t="n"/>
    </row>
    <row r="7545">
      <c r="F7545" s="653" t="n"/>
    </row>
    <row r="7546">
      <c r="F7546" s="653" t="n"/>
    </row>
    <row r="7547">
      <c r="F7547" s="653" t="n"/>
    </row>
    <row r="7548">
      <c r="F7548" s="653" t="n"/>
    </row>
    <row r="7549">
      <c r="F7549" s="653" t="n"/>
    </row>
    <row r="7550">
      <c r="F7550" s="653" t="n"/>
    </row>
    <row r="7551">
      <c r="F7551" s="653" t="n"/>
    </row>
    <row r="7552">
      <c r="F7552" s="653" t="n"/>
    </row>
    <row r="7553">
      <c r="F7553" s="653" t="n"/>
    </row>
    <row r="7554">
      <c r="F7554" s="653" t="n"/>
    </row>
    <row r="7555">
      <c r="F7555" s="653" t="n"/>
    </row>
    <row r="7556">
      <c r="F7556" s="653" t="n"/>
    </row>
    <row r="7557">
      <c r="F7557" s="653" t="n"/>
    </row>
    <row r="7558">
      <c r="F7558" s="653" t="n"/>
    </row>
    <row r="7559">
      <c r="F7559" s="653" t="n"/>
    </row>
    <row r="7560">
      <c r="F7560" s="653" t="n"/>
    </row>
    <row r="7561">
      <c r="F7561" s="653" t="n"/>
    </row>
    <row r="7562">
      <c r="F7562" s="653" t="n"/>
    </row>
    <row r="7563">
      <c r="F7563" s="653" t="n"/>
    </row>
    <row r="7564">
      <c r="F7564" s="653" t="n"/>
    </row>
    <row r="7565">
      <c r="F7565" s="653" t="n"/>
    </row>
    <row r="7566">
      <c r="F7566" s="653" t="n"/>
    </row>
    <row r="7567">
      <c r="F7567" s="653" t="n"/>
    </row>
    <row r="7568">
      <c r="F7568" s="653" t="n"/>
    </row>
    <row r="7569">
      <c r="F7569" s="653" t="n"/>
    </row>
    <row r="7570">
      <c r="F7570" s="653" t="n"/>
    </row>
    <row r="7571">
      <c r="F7571" s="653" t="n"/>
    </row>
    <row r="7572">
      <c r="F7572" s="653" t="n"/>
    </row>
    <row r="7573">
      <c r="F7573" s="653" t="n"/>
    </row>
    <row r="7574">
      <c r="F7574" s="653" t="n"/>
    </row>
    <row r="7575">
      <c r="F7575" s="653" t="n"/>
    </row>
    <row r="7576">
      <c r="F7576" s="653" t="n"/>
    </row>
    <row r="7577">
      <c r="F7577" s="653" t="n"/>
    </row>
    <row r="7578">
      <c r="F7578" s="653" t="n"/>
    </row>
    <row r="7579">
      <c r="F7579" s="653" t="n"/>
    </row>
    <row r="7580">
      <c r="F7580" s="653" t="n"/>
    </row>
    <row r="7581">
      <c r="F7581" s="653" t="n"/>
    </row>
    <row r="7582">
      <c r="F7582" s="653" t="n"/>
    </row>
    <row r="7583">
      <c r="F7583" s="653" t="n"/>
    </row>
    <row r="7584">
      <c r="F7584" s="653" t="n"/>
    </row>
    <row r="7585">
      <c r="F7585" s="653" t="n"/>
    </row>
    <row r="7586">
      <c r="F7586" s="653" t="n"/>
    </row>
    <row r="7587">
      <c r="F7587" s="653" t="n"/>
    </row>
    <row r="7588">
      <c r="F7588" s="653" t="n"/>
    </row>
    <row r="7589">
      <c r="F7589" s="653" t="n"/>
    </row>
    <row r="7590">
      <c r="F7590" s="653" t="n"/>
    </row>
    <row r="7591">
      <c r="F7591" s="653" t="n"/>
    </row>
    <row r="7592">
      <c r="F7592" s="653" t="n"/>
    </row>
    <row r="7593">
      <c r="F7593" s="653" t="n"/>
    </row>
    <row r="7594">
      <c r="F7594" s="653" t="n"/>
    </row>
    <row r="7595">
      <c r="F7595" s="653" t="n"/>
    </row>
  </sheetData>
  <mergeCells count="69">
    <mergeCell ref="C1:M1"/>
    <mergeCell ref="C2:M2"/>
    <mergeCell ref="A3:M3"/>
    <mergeCell ref="F4:G4"/>
    <mergeCell ref="H4:I4"/>
    <mergeCell ref="J4:K4"/>
    <mergeCell ref="L4:M4"/>
    <mergeCell ref="F5:G5"/>
    <mergeCell ref="H5:I5"/>
    <mergeCell ref="L5:M5"/>
    <mergeCell ref="A6:B6"/>
    <mergeCell ref="C6:D6"/>
    <mergeCell ref="F6:G6"/>
    <mergeCell ref="H6:I6"/>
    <mergeCell ref="L6:M6"/>
    <mergeCell ref="A7:M7"/>
    <mergeCell ref="E8:F8"/>
    <mergeCell ref="G8:H8"/>
    <mergeCell ref="A9:C9"/>
    <mergeCell ref="E9:F9"/>
    <mergeCell ref="G9:H9"/>
    <mergeCell ref="A10:C10"/>
    <mergeCell ref="E10:F10"/>
    <mergeCell ref="G10:H10"/>
    <mergeCell ref="A11:C11"/>
    <mergeCell ref="E11:F11"/>
    <mergeCell ref="G11:H11"/>
    <mergeCell ref="A12:C12"/>
    <mergeCell ref="E12:F12"/>
    <mergeCell ref="G12:H12"/>
    <mergeCell ref="A13:C13"/>
    <mergeCell ref="E13:F13"/>
    <mergeCell ref="G13:H13"/>
    <mergeCell ref="A14:C14"/>
    <mergeCell ref="E14:F14"/>
    <mergeCell ref="G14:H14"/>
    <mergeCell ref="A15:C15"/>
    <mergeCell ref="E15:F15"/>
    <mergeCell ref="G15:H15"/>
    <mergeCell ref="A16:C16"/>
    <mergeCell ref="E16:F16"/>
    <mergeCell ref="G16:H16"/>
    <mergeCell ref="A17:C17"/>
    <mergeCell ref="E17:F17"/>
    <mergeCell ref="G17:H17"/>
    <mergeCell ref="A18:C18"/>
    <mergeCell ref="E18:F18"/>
    <mergeCell ref="G18:H18"/>
    <mergeCell ref="A19:D19"/>
    <mergeCell ref="E19:F19"/>
    <mergeCell ref="G19:H19"/>
    <mergeCell ref="A20:C20"/>
    <mergeCell ref="E20:F20"/>
    <mergeCell ref="G20:H20"/>
    <mergeCell ref="A21:C21"/>
    <mergeCell ref="E21:F21"/>
    <mergeCell ref="G21:H21"/>
    <mergeCell ref="A22:C22"/>
    <mergeCell ref="E22:F22"/>
    <mergeCell ref="G22:H22"/>
    <mergeCell ref="A23:C23"/>
    <mergeCell ref="E23:H23"/>
    <mergeCell ref="A24:H24"/>
    <mergeCell ref="A27:A28"/>
    <mergeCell ref="B27:C28"/>
    <mergeCell ref="A25:H26"/>
    <mergeCell ref="A1:B2"/>
    <mergeCell ref="A4:B5"/>
    <mergeCell ref="C4:D5"/>
  </mergeCells>
  <conditionalFormatting sqref="K8:M8">
    <cfRule dxfId="0" priority="4" type="expression">
      <formula>'/MAGELEC/Motor Test Files/M21R/A04-004/[M21R Design Verification Test Table Rev 21thJune.xlsx]Peak Curve'!#REF!="FAILED"</formula>
    </cfRule>
  </conditionalFormatting>
  <conditionalFormatting sqref="G32:I32">
    <cfRule dxfId="0" priority="12" type="expression">
      <formula>'/Users/summer/AppData/Roaming/Microsoft/Excel/[M21R Design Verification Test Table Rev 21thJune (version 1).xlsb]Cont Curve'!#REF!="FAILED"</formula>
    </cfRule>
  </conditionalFormatting>
  <conditionalFormatting sqref="E8 G8">
    <cfRule dxfId="0" priority="8" type="expression">
      <formula>'/MAGELEC/Motor Test Files/M21R/A04-004/[M21R Design Verification Test Table Rev 21thJune.xlsx]Peak Curve'!#REF!="FAILED"</formula>
    </cfRule>
  </conditionalFormatting>
  <conditionalFormatting sqref="G28:I31 G33:I34">
    <cfRule dxfId="0" priority="14" type="expression">
      <formula>'/Users/summer/AppData/Roaming/Microsoft/Excel/[M21R Design Verification Test Table Rev 21thJune (version 1).xlsb]Cont Curve'!#REF!="FAILED"</formula>
    </cfRule>
  </conditionalFormatting>
  <dataValidations count="9">
    <dataValidation allowBlank="0" showErrorMessage="1" showInputMessage="1" sqref="A6:B6" type="list">
      <formula1>"Traction &amp; Torque主转扭矩, Traction &amp; Speed主转速度,Generation &amp; Torque发电扭矩, Generation &amp; Speed发电速度"</formula1>
    </dataValidation>
    <dataValidation allowBlank="0" showErrorMessage="1" showInputMessage="1" sqref="C6" type="list">
      <formula1>"Positive正转, Negative反转"</formula1>
    </dataValidation>
    <dataValidation allowBlank="0" showErrorMessage="1" showInputMessage="1" sqref="F6:G6" type="list">
      <formula1>"100,90"</formula1>
    </dataValidation>
    <dataValidation allowBlank="0" showErrorMessage="1" showInputMessage="1" sqref="H6" type="list">
      <formula1>"500"</formula1>
    </dataValidation>
    <dataValidation allowBlank="0" showErrorMessage="1" showInputMessage="1" sqref="J6" type="list">
      <formula1>"20,45,55"</formula1>
    </dataValidation>
    <dataValidation allowBlank="0" showErrorMessage="1" showInputMessage="1" sqref="K6" type="list">
      <formula1>"10,8"</formula1>
    </dataValidation>
    <dataValidation allowBlank="0" showErrorMessage="1" showInputMessage="1" sqref="L6:M6" type="list">
      <formula1>"20"</formula1>
    </dataValidation>
    <dataValidation allowBlank="0" showErrorMessage="1" showInputMessage="1" sqref="E10:H10" type="list">
      <formula1>"8,10"</formula1>
    </dataValidation>
    <dataValidation allowBlank="0" showErrorMessage="1" showInputMessage="1" sqref="G34:I34" type="list">
      <formula1>Type_of_test</formula1>
    </dataValidation>
  </dataValidations>
  <pageMargins bottom="0.3" footer="0.3" header="0.3" left="0.3" right="0.3" top="0.3"/>
  <pageSetup orientation="landscape"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W60"/>
  <sheetViews>
    <sheetView showGridLines="0" topLeftCell="A3" workbookViewId="0" zoomScale="80" zoomScaleNormal="80">
      <selection activeCell="R45" sqref="R45"/>
    </sheetView>
  </sheetViews>
  <sheetFormatPr baseColWidth="8" defaultColWidth="9" defaultRowHeight="16.8"/>
  <cols>
    <col customWidth="1" max="1" min="1" width="8.56730769230769"/>
    <col customWidth="1" max="10" min="2" width="10.5673076923077"/>
    <col customWidth="1" max="17" min="12" width="10.5673076923077"/>
  </cols>
  <sheetData>
    <row customHeight="1" ht="30" r="1">
      <c r="A1" s="178" t="n"/>
      <c r="B1" s="24" t="n"/>
      <c r="C1" s="6" t="inlineStr">
        <is>
          <t>PRODUCT ACCEPTANCE TEST - Continuous Torque Curve</t>
        </is>
      </c>
      <c r="D1" s="24" t="n"/>
      <c r="E1" s="24" t="n"/>
      <c r="F1" s="24" t="n"/>
      <c r="G1" s="24" t="n"/>
      <c r="H1" s="24" t="n"/>
      <c r="I1" s="24" t="n"/>
      <c r="J1" s="24" t="n"/>
      <c r="K1" s="24" t="n"/>
      <c r="L1" s="24" t="n"/>
      <c r="M1" s="24" t="n"/>
      <c r="N1" s="25" t="n"/>
    </row>
    <row customHeight="1" ht="30" r="2">
      <c r="A2" s="27" t="n"/>
      <c r="B2" s="28" t="n"/>
      <c r="C2" s="10">
        <f>'DUT Description'!C6&amp;" - "&amp;'DUT Description'!D6</f>
        <v/>
      </c>
      <c r="D2" s="28" t="n"/>
      <c r="E2" s="28" t="n"/>
      <c r="F2" s="28" t="n"/>
      <c r="G2" s="28" t="n"/>
      <c r="H2" s="28" t="n"/>
      <c r="I2" s="28" t="n"/>
      <c r="J2" s="28" t="n"/>
      <c r="K2" s="28" t="n"/>
      <c r="L2" s="28" t="n"/>
      <c r="M2" s="28" t="n"/>
      <c r="N2" s="29" t="n"/>
    </row>
    <row customHeight="1" ht="30" r="3">
      <c r="A3" s="50" t="inlineStr">
        <is>
          <t>Item 9. Continue Torque Measurement
          连续扭矩测量</t>
        </is>
      </c>
      <c r="B3" s="36" t="n"/>
      <c r="C3" s="36" t="n"/>
      <c r="D3" s="36" t="n"/>
      <c r="E3" s="36" t="n"/>
      <c r="F3" s="36" t="n"/>
      <c r="G3" s="36" t="n"/>
      <c r="H3" s="36" t="n"/>
      <c r="I3" s="36" t="n"/>
      <c r="J3" s="13" t="n"/>
    </row>
    <row customHeight="1" ht="30" r="4">
      <c r="A4" s="48" t="inlineStr">
        <is>
          <t>DUT
被测电机</t>
        </is>
      </c>
      <c r="B4" s="50" t="inlineStr">
        <is>
          <t>Control model
控制模式</t>
        </is>
      </c>
      <c r="C4" s="36" t="n"/>
      <c r="D4" s="36" t="n"/>
      <c r="E4" s="36" t="n"/>
      <c r="F4" s="13" t="n"/>
      <c r="G4" s="104" t="inlineStr">
        <is>
          <t>Traction &amp; Torque主转扭矩</t>
        </is>
      </c>
      <c r="H4" s="13" t="n"/>
      <c r="I4" s="104" t="inlineStr">
        <is>
          <t>Traction &amp; Torque主转扭矩</t>
        </is>
      </c>
      <c r="J4" s="13" t="n"/>
      <c r="K4" s="104" t="inlineStr">
        <is>
          <t>Traction &amp; Torque主转扭矩</t>
        </is>
      </c>
      <c r="L4" s="13" t="n"/>
    </row>
    <row customHeight="1" ht="30" r="5">
      <c r="A5" s="26" t="n"/>
      <c r="B5" s="50" t="inlineStr">
        <is>
          <t>Rotating direction
运转方向</t>
        </is>
      </c>
      <c r="C5" s="36" t="n"/>
      <c r="D5" s="36" t="n"/>
      <c r="E5" s="36" t="n"/>
      <c r="F5" s="13" t="n"/>
      <c r="G5" s="57" t="inlineStr">
        <is>
          <t>Positive正转</t>
        </is>
      </c>
      <c r="H5" s="13" t="n"/>
      <c r="I5" s="57" t="inlineStr">
        <is>
          <t>Positive正转</t>
        </is>
      </c>
      <c r="J5" s="13" t="n"/>
      <c r="K5" s="57" t="inlineStr">
        <is>
          <t>Positive正转</t>
        </is>
      </c>
      <c r="L5" s="13" t="n"/>
    </row>
    <row customHeight="1" ht="30" r="6">
      <c r="A6" s="26" t="n"/>
      <c r="B6" s="91" t="inlineStr">
        <is>
          <t>Speed Set Point 
速度设定点</t>
        </is>
      </c>
      <c r="C6" s="36" t="n"/>
      <c r="D6" s="36" t="n"/>
      <c r="E6" s="36" t="n"/>
      <c r="F6" s="185" t="inlineStr">
        <is>
          <t>[rpm]</t>
        </is>
      </c>
      <c r="G6" s="102" t="n">
        <v>500</v>
      </c>
      <c r="H6" s="13" t="n"/>
      <c r="I6" s="102" t="n">
        <v>6000</v>
      </c>
      <c r="J6" s="13" t="n"/>
      <c r="K6" s="102" t="n">
        <v>10000</v>
      </c>
      <c r="L6" s="13" t="n"/>
    </row>
    <row customHeight="1" ht="30" r="7">
      <c r="A7" s="30" t="n"/>
      <c r="B7" s="50" t="inlineStr">
        <is>
          <t>Winding Temperature Target
绕线限制温度</t>
        </is>
      </c>
      <c r="C7" s="36" t="n"/>
      <c r="D7" s="36" t="n"/>
      <c r="E7" s="13" t="n"/>
      <c r="F7" s="186" t="inlineStr">
        <is>
          <t>[°C]</t>
        </is>
      </c>
      <c r="G7" s="102" t="n">
        <v>150</v>
      </c>
      <c r="H7" s="36" t="n"/>
      <c r="I7" s="36" t="n"/>
      <c r="J7" s="36" t="n"/>
      <c r="K7" s="36" t="n"/>
      <c r="L7" s="13" t="n"/>
    </row>
    <row customHeight="1" ht="9.949999999999999" r="8">
      <c r="A8" s="179" t="n"/>
    </row>
    <row customHeight="1" ht="30" r="9">
      <c r="A9" s="48" t="inlineStr">
        <is>
          <t>Cooling System
冷却系统</t>
        </is>
      </c>
      <c r="B9" s="50" t="inlineStr">
        <is>
          <t>DUT Flow Rate
被测电机流量</t>
        </is>
      </c>
      <c r="C9" s="36" t="n"/>
      <c r="D9" s="36" t="n"/>
      <c r="E9" s="13" t="n"/>
      <c r="F9" s="110" t="inlineStr">
        <is>
          <t>[lpm]</t>
        </is>
      </c>
      <c r="G9" s="654" t="n">
        <v>8</v>
      </c>
      <c r="H9" s="36" t="n"/>
      <c r="I9" s="36" t="n"/>
      <c r="J9" s="36" t="n"/>
      <c r="K9" s="36" t="n"/>
      <c r="L9" s="13" t="n"/>
      <c r="M9" s="195" t="n"/>
      <c r="N9" s="195" t="n"/>
      <c r="O9" s="195" t="n"/>
      <c r="P9" s="195" t="n"/>
      <c r="Q9" s="195" t="n"/>
      <c r="R9" s="195" t="n"/>
    </row>
    <row customHeight="1" ht="30" r="10">
      <c r="A10" s="26" t="n"/>
      <c r="B10" s="50" t="inlineStr">
        <is>
          <t>DUT Coolant Pressure
被测电机冷却介质压力</t>
        </is>
      </c>
      <c r="C10" s="36" t="n"/>
      <c r="D10" s="36" t="n"/>
      <c r="E10" s="13" t="n"/>
      <c r="F10" s="110" t="inlineStr">
        <is>
          <t>[Kpa]</t>
        </is>
      </c>
      <c r="G10" s="57" t="inlineStr">
        <is>
          <t>&lt;100</t>
        </is>
      </c>
      <c r="H10" s="36" t="n"/>
      <c r="I10" s="36" t="n"/>
      <c r="J10" s="36" t="n"/>
      <c r="K10" s="36" t="n"/>
      <c r="L10" s="13" t="n"/>
      <c r="M10" s="196" t="n"/>
      <c r="N10" s="197" t="n"/>
      <c r="O10" s="196" t="n"/>
      <c r="P10" s="197" t="n"/>
      <c r="Q10" s="196" t="n"/>
      <c r="R10" s="197" t="n"/>
    </row>
    <row customHeight="1" ht="30" r="11">
      <c r="A11" s="26" t="n"/>
      <c r="B11" s="50" t="inlineStr">
        <is>
          <t>Ambient Room Temperature
测试环境温度</t>
        </is>
      </c>
      <c r="C11" s="36" t="n"/>
      <c r="D11" s="36" t="n"/>
      <c r="E11" s="13" t="n"/>
      <c r="F11" s="110" t="inlineStr">
        <is>
          <t>[°C]</t>
        </is>
      </c>
      <c r="G11" s="654" t="n">
        <v>24.4</v>
      </c>
      <c r="H11" s="36" t="n"/>
      <c r="I11" s="36" t="n"/>
      <c r="J11" s="36" t="n"/>
      <c r="K11" s="36" t="n"/>
      <c r="L11" s="13" t="n"/>
      <c r="M11" s="198" t="n"/>
      <c r="N11" s="198" t="n"/>
      <c r="O11" s="198" t="n"/>
      <c r="P11" s="198" t="n"/>
      <c r="Q11" s="198" t="n"/>
      <c r="R11" s="198" t="n"/>
    </row>
    <row customHeight="1" ht="30" r="12">
      <c r="A12" s="26" t="n"/>
      <c r="B12" s="50" t="inlineStr">
        <is>
          <t>DUT Coolant Inlet Temperature
被测电机输入冷却介质温度</t>
        </is>
      </c>
      <c r="C12" s="36" t="n"/>
      <c r="D12" s="36" t="n"/>
      <c r="E12" s="13" t="n"/>
      <c r="F12" s="110" t="inlineStr">
        <is>
          <t>[°C]</t>
        </is>
      </c>
      <c r="G12" s="654" t="n">
        <v>55</v>
      </c>
      <c r="H12" s="36" t="n"/>
      <c r="I12" s="36" t="n"/>
      <c r="J12" s="36" t="n"/>
      <c r="K12" s="36" t="n"/>
      <c r="L12" s="13" t="n"/>
      <c r="M12" s="199" t="n"/>
      <c r="N12" s="199" t="n"/>
      <c r="O12" s="199" t="n"/>
      <c r="P12" s="199" t="n"/>
      <c r="Q12" s="199" t="n"/>
      <c r="R12" s="199" t="n"/>
    </row>
    <row customHeight="1" ht="30" r="13">
      <c r="A13" s="26" t="n"/>
      <c r="B13" s="50" t="inlineStr">
        <is>
          <t>MCU Flow Rate
负载电机流量</t>
        </is>
      </c>
      <c r="C13" s="36" t="n"/>
      <c r="D13" s="36" t="n"/>
      <c r="E13" s="13" t="n"/>
      <c r="F13" s="110" t="inlineStr">
        <is>
          <t>[lpm]</t>
        </is>
      </c>
      <c r="G13" s="654" t="n">
        <v>8</v>
      </c>
      <c r="H13" s="36" t="n"/>
      <c r="I13" s="36" t="n"/>
      <c r="J13" s="36" t="n"/>
      <c r="K13" s="36" t="n"/>
      <c r="L13" s="13" t="n"/>
      <c r="M13" s="196" t="n"/>
      <c r="N13" s="197" t="n"/>
      <c r="O13" s="196" t="n"/>
      <c r="P13" s="197" t="n"/>
      <c r="Q13" s="196" t="n"/>
      <c r="R13" s="197" t="n"/>
    </row>
    <row customHeight="1" ht="30" r="14">
      <c r="A14" s="26" t="n"/>
      <c r="B14" s="50" t="inlineStr">
        <is>
          <t>MCU Coolant Inlet Temperature
负载电机输入冷却介质温度</t>
        </is>
      </c>
      <c r="C14" s="36" t="n"/>
      <c r="D14" s="36" t="n"/>
      <c r="E14" s="13" t="n"/>
      <c r="F14" s="110" t="inlineStr">
        <is>
          <t>[°C]</t>
        </is>
      </c>
      <c r="G14" s="654" t="n">
        <v>55</v>
      </c>
      <c r="H14" s="36" t="n"/>
      <c r="I14" s="36" t="n"/>
      <c r="J14" s="36" t="n"/>
      <c r="K14" s="36" t="n"/>
      <c r="L14" s="13" t="n"/>
      <c r="M14" s="198" t="n"/>
      <c r="N14" s="198" t="n"/>
      <c r="O14" s="198" t="n"/>
      <c r="P14" s="198" t="n"/>
      <c r="Q14" s="198" t="n"/>
      <c r="R14" s="198" t="n"/>
    </row>
    <row customHeight="1" ht="30" r="15">
      <c r="A15" s="26" t="n"/>
      <c r="B15" s="50" t="inlineStr">
        <is>
          <t>Real Ambient Room Temperature
实际测试环境温度</t>
        </is>
      </c>
      <c r="C15" s="36" t="n"/>
      <c r="D15" s="36" t="n"/>
      <c r="E15" s="13" t="n"/>
      <c r="F15" s="110" t="inlineStr">
        <is>
          <t>[°C]</t>
        </is>
      </c>
      <c r="G15" s="655" t="n">
        <v>20</v>
      </c>
      <c r="H15" s="13" t="n"/>
      <c r="I15" s="655" t="n">
        <v>20</v>
      </c>
      <c r="J15" s="13" t="n"/>
      <c r="K15" s="655" t="n">
        <v>20</v>
      </c>
      <c r="L15" s="13" t="n"/>
    </row>
    <row customHeight="1" ht="30" r="16">
      <c r="A16" s="26" t="n"/>
      <c r="B16" s="50" t="inlineStr">
        <is>
          <t>Real DUT Flow Rate
实际被测电机流量</t>
        </is>
      </c>
      <c r="C16" s="36" t="n"/>
      <c r="D16" s="36" t="n"/>
      <c r="E16" s="13" t="n"/>
      <c r="F16" s="110" t="inlineStr">
        <is>
          <t>[lpm]</t>
        </is>
      </c>
      <c r="G16" s="655" t="n">
        <v>8</v>
      </c>
      <c r="H16" s="13" t="n"/>
      <c r="I16" s="655" t="n">
        <v>8</v>
      </c>
      <c r="J16" s="13" t="n"/>
      <c r="K16" s="655" t="n">
        <v>8</v>
      </c>
      <c r="L16" s="13" t="n"/>
    </row>
    <row customHeight="1" ht="30" r="17">
      <c r="A17" s="26" t="n"/>
      <c r="B17" s="50" t="inlineStr">
        <is>
          <t>Real DUT Coolant Inlet Temperature
实际被测电机输入冷却介质温度</t>
        </is>
      </c>
      <c r="C17" s="36" t="n"/>
      <c r="D17" s="36" t="n"/>
      <c r="E17" s="13" t="n"/>
      <c r="F17" s="110" t="inlineStr">
        <is>
          <t>[°C]</t>
        </is>
      </c>
      <c r="G17" s="655" t="n">
        <v>55</v>
      </c>
      <c r="H17" s="13" t="n"/>
      <c r="I17" s="655" t="n">
        <v>55</v>
      </c>
      <c r="J17" s="13" t="n"/>
      <c r="K17" s="655" t="n">
        <v>55</v>
      </c>
      <c r="L17" s="13" t="n"/>
    </row>
    <row customHeight="1" ht="30" r="18">
      <c r="A18" s="30" t="n"/>
      <c r="B18" s="50" t="inlineStr">
        <is>
          <t>Real DUT Coolant Outlet Temperature
实际被测电机输出冷却介质温度</t>
        </is>
      </c>
      <c r="C18" s="36" t="n"/>
      <c r="D18" s="36" t="n"/>
      <c r="E18" s="13" t="n"/>
      <c r="F18" s="110" t="inlineStr">
        <is>
          <t>[°C]</t>
        </is>
      </c>
      <c r="G18" s="655" t="n">
        <v>55</v>
      </c>
      <c r="H18" s="13" t="n"/>
      <c r="I18" s="655" t="n">
        <v>55</v>
      </c>
      <c r="J18" s="13" t="n"/>
      <c r="K18" s="655" t="n">
        <v>55</v>
      </c>
      <c r="L18" s="13" t="n"/>
      <c r="V18" s="200" t="n"/>
    </row>
    <row customHeight="1" ht="9.949999999999999" r="19">
      <c r="A19" s="180" t="n"/>
      <c r="B19" s="24" t="n"/>
      <c r="C19" s="24" t="n"/>
      <c r="D19" s="24" t="n"/>
      <c r="E19" s="24" t="n"/>
      <c r="F19" s="24" t="n"/>
      <c r="G19" s="24" t="n"/>
      <c r="H19" s="24" t="n"/>
      <c r="I19" s="24" t="n"/>
      <c r="J19" s="24" t="n"/>
      <c r="K19" s="24" t="n"/>
      <c r="L19" s="24" t="n"/>
      <c r="V19" s="200" t="n"/>
    </row>
    <row customHeight="1" ht="30" r="20">
      <c r="A20" s="181" t="inlineStr">
        <is>
          <t>Torque &amp; Speed
扭矩和速度</t>
        </is>
      </c>
      <c r="B20" s="182" t="inlineStr">
        <is>
          <t>Back EMF before test @1000 rpm
测试前1000转时的反电动势</t>
        </is>
      </c>
      <c r="C20" s="36" t="n"/>
      <c r="D20" s="36" t="n"/>
      <c r="E20" s="13" t="n"/>
      <c r="F20" s="187" t="inlineStr">
        <is>
          <t>[Vrms phph]</t>
        </is>
      </c>
      <c r="G20" s="655" t="n"/>
      <c r="H20" s="13" t="n"/>
      <c r="I20" s="655" t="n"/>
      <c r="J20" s="13" t="n"/>
      <c r="K20" s="193" t="n"/>
      <c r="L20" s="13" t="n"/>
      <c r="S20" s="141" t="n"/>
    </row>
    <row customHeight="1" ht="30" r="21">
      <c r="A21" s="26" t="n"/>
      <c r="B21" s="58" t="inlineStr">
        <is>
          <t>Temperature for pre-back EMF test</t>
        </is>
      </c>
      <c r="C21" s="36" t="n"/>
      <c r="D21" s="36" t="n"/>
      <c r="E21" s="13" t="n"/>
      <c r="F21" s="186" t="inlineStr">
        <is>
          <t>[°C]</t>
        </is>
      </c>
      <c r="G21" s="655" t="n"/>
      <c r="H21" s="13" t="n"/>
      <c r="I21" s="655" t="n"/>
      <c r="J21" s="13" t="n"/>
      <c r="K21" s="193" t="n"/>
      <c r="L21" s="13" t="n"/>
      <c r="T21" s="141" t="n"/>
    </row>
    <row customHeight="1" ht="30" r="22">
      <c r="A22" s="26" t="n"/>
      <c r="B22" s="50" t="inlineStr">
        <is>
          <t>Winding Temp. RTD1 @Stable
绕线温度RTD1</t>
        </is>
      </c>
      <c r="C22" s="36" t="n"/>
      <c r="D22" s="36" t="n"/>
      <c r="E22" s="13" t="n"/>
      <c r="F22" s="186" t="inlineStr">
        <is>
          <t>[°C]</t>
        </is>
      </c>
      <c r="G22" s="655" t="n"/>
      <c r="H22" s="13" t="n"/>
      <c r="I22" s="655" t="n"/>
      <c r="J22" s="13" t="n"/>
      <c r="K22" s="193" t="n"/>
      <c r="L22" s="13" t="n"/>
    </row>
    <row customHeight="1" ht="30" r="23">
      <c r="A23" s="26" t="n"/>
      <c r="B23" s="50" t="inlineStr">
        <is>
          <t>Winding Temp. RTD2 @Stable
绕线温度RTD2</t>
        </is>
      </c>
      <c r="C23" s="36" t="n"/>
      <c r="D23" s="36" t="n"/>
      <c r="E23" s="13" t="n"/>
      <c r="F23" s="186" t="inlineStr">
        <is>
          <t>[°C]</t>
        </is>
      </c>
      <c r="G23" s="655" t="n"/>
      <c r="H23" s="13" t="n"/>
      <c r="I23" s="655" t="n"/>
      <c r="J23" s="13" t="n"/>
      <c r="K23" s="193" t="n"/>
      <c r="L23" s="13" t="n"/>
      <c r="S23" s="141" t="n"/>
    </row>
    <row customHeight="1" ht="30" r="24">
      <c r="A24" s="26" t="n"/>
      <c r="B24" s="50" t="inlineStr">
        <is>
          <t>Real speed
实际速度</t>
        </is>
      </c>
      <c r="C24" s="36" t="n"/>
      <c r="D24" s="36" t="n"/>
      <c r="E24" s="13" t="n"/>
      <c r="F24" s="108" t="inlineStr">
        <is>
          <t>[rpm]</t>
        </is>
      </c>
      <c r="G24" s="118" t="n">
        <v>500</v>
      </c>
      <c r="H24" s="13" t="n"/>
      <c r="I24" s="118" t="n">
        <v>6000</v>
      </c>
      <c r="J24" s="13" t="n"/>
      <c r="K24" s="193" t="n">
        <v>10000</v>
      </c>
      <c r="L24" s="13" t="n"/>
      <c r="T24" s="141" t="n"/>
    </row>
    <row customHeight="1" ht="30" r="25">
      <c r="A25" s="26" t="n"/>
      <c r="B25" s="50" t="inlineStr">
        <is>
          <t>Frequency
频率</t>
        </is>
      </c>
      <c r="C25" s="36" t="n"/>
      <c r="D25" s="36" t="n"/>
      <c r="E25" s="13" t="n"/>
      <c r="F25" s="58" t="inlineStr">
        <is>
          <t>[Hz]</t>
        </is>
      </c>
      <c r="G25" s="119">
        <f>G24/60*'DUT Description'!$D$8/2</f>
        <v/>
      </c>
      <c r="H25" s="13" t="n"/>
      <c r="I25" s="119">
        <f>I24/60*'DUT Description'!$D$8/2</f>
        <v/>
      </c>
      <c r="J25" s="13" t="n"/>
      <c r="K25" s="119">
        <f>K24/60*'DUT Description'!$D$8/2</f>
        <v/>
      </c>
      <c r="L25" s="13" t="n"/>
    </row>
    <row customHeight="1" ht="30" r="26">
      <c r="A26" s="26" t="n"/>
      <c r="B26" s="50" t="inlineStr">
        <is>
          <t>Torque Command
扭矩输入</t>
        </is>
      </c>
      <c r="C26" s="36" t="n"/>
      <c r="D26" s="36" t="n"/>
      <c r="E26" s="13" t="n"/>
      <c r="F26" s="58" t="inlineStr">
        <is>
          <t>[Nm]</t>
        </is>
      </c>
      <c r="G26" s="188" t="n"/>
      <c r="H26" s="13" t="n"/>
      <c r="I26" s="188" t="n"/>
      <c r="J26" s="13" t="n"/>
      <c r="K26" s="193" t="n"/>
      <c r="L26" s="13" t="n"/>
    </row>
    <row customHeight="1" ht="30" r="27">
      <c r="A27" s="26" t="n"/>
      <c r="B27" s="50" t="inlineStr">
        <is>
          <t>Torque Measurement
扭矩测量值</t>
        </is>
      </c>
      <c r="C27" s="36" t="n"/>
      <c r="D27" s="36" t="n"/>
      <c r="E27" s="36" t="n"/>
      <c r="F27" s="13" t="n"/>
      <c r="G27" s="189" t="n"/>
      <c r="H27" s="13" t="n"/>
      <c r="I27" s="189" t="n"/>
      <c r="J27" s="13" t="n"/>
      <c r="K27" s="193" t="n"/>
      <c r="L27" s="13" t="n"/>
    </row>
    <row customHeight="1" ht="30" r="28">
      <c r="A28" s="26" t="n"/>
      <c r="B28" s="50" t="inlineStr">
        <is>
          <t>DUT Shaft output Power
被测电机输出功率</t>
        </is>
      </c>
      <c r="C28" s="36" t="n"/>
      <c r="D28" s="36" t="n"/>
      <c r="E28" s="13" t="n"/>
      <c r="F28" s="58" t="inlineStr">
        <is>
          <t>[kW]</t>
        </is>
      </c>
      <c r="G28" s="656">
        <f>G24*G27*2*PI()/60/1000</f>
        <v/>
      </c>
      <c r="H28" s="13" t="n"/>
      <c r="I28" s="656">
        <f>I24*I27*2*PI()/60/1000</f>
        <v/>
      </c>
      <c r="J28" s="13" t="n"/>
      <c r="K28" s="656">
        <f>K24*K27*2*PI()/60/1000</f>
        <v/>
      </c>
      <c r="L28" s="13" t="n"/>
    </row>
    <row customHeight="1" ht="30" r="29">
      <c r="A29" s="26" t="n"/>
      <c r="B29" s="50" t="inlineStr">
        <is>
          <t>Back EMF after test @1000 rpm [Vrms phph] (quick!) 
测试后1000转时的反电动势（测量速度快快快）</t>
        </is>
      </c>
      <c r="C29" s="36" t="n"/>
      <c r="D29" s="36" t="n"/>
      <c r="E29" s="36" t="n"/>
      <c r="F29" s="13" t="n"/>
      <c r="G29" s="190" t="n"/>
      <c r="H29" s="13" t="n"/>
      <c r="I29" s="190" t="n"/>
      <c r="J29" s="13" t="n"/>
      <c r="K29" s="193" t="n"/>
      <c r="L29" s="13" t="n"/>
    </row>
    <row customHeight="1" ht="30" r="30">
      <c r="A30" s="30" t="n"/>
      <c r="B30" s="58" t="inlineStr">
        <is>
          <t>Temperature for pos-back EMF test [°C]</t>
        </is>
      </c>
      <c r="C30" s="36" t="n"/>
      <c r="D30" s="36" t="n"/>
      <c r="E30" s="36" t="n"/>
      <c r="F30" s="13" t="n"/>
      <c r="G30" s="190" t="n"/>
      <c r="H30" s="13" t="n"/>
      <c r="I30" s="190" t="n"/>
      <c r="J30" s="13" t="n"/>
      <c r="K30" s="193" t="n"/>
      <c r="L30" s="13" t="n"/>
    </row>
    <row customHeight="1" ht="9.949999999999999" r="31">
      <c r="A31" s="179" t="n"/>
    </row>
    <row customHeight="1" ht="30" r="32">
      <c r="A32" s="48" t="inlineStr">
        <is>
          <t>DC Link
直流连接</t>
        </is>
      </c>
      <c r="B32" s="50" t="inlineStr">
        <is>
          <t>DC Voltage 
直流电压</t>
        </is>
      </c>
      <c r="C32" s="36" t="n"/>
      <c r="D32" s="36" t="n"/>
      <c r="E32" s="13" t="n"/>
      <c r="F32" s="110" t="inlineStr">
        <is>
          <t>[V]</t>
        </is>
      </c>
      <c r="G32" s="188" t="n">
        <v>600</v>
      </c>
      <c r="H32" s="13" t="n"/>
      <c r="I32" s="188" t="n">
        <v>600</v>
      </c>
      <c r="J32" s="13" t="n"/>
      <c r="K32" s="188" t="n">
        <v>600</v>
      </c>
      <c r="L32" s="13" t="n"/>
    </row>
    <row customHeight="1" ht="30" r="33">
      <c r="A33" s="26" t="n"/>
      <c r="B33" s="50" t="inlineStr">
        <is>
          <t>DC Current
直流电流</t>
        </is>
      </c>
      <c r="C33" s="36" t="n"/>
      <c r="D33" s="36" t="n"/>
      <c r="E33" s="13" t="n"/>
      <c r="F33" s="110" t="inlineStr">
        <is>
          <t>[A]</t>
        </is>
      </c>
      <c r="G33" s="126" t="n"/>
      <c r="H33" s="13" t="n"/>
      <c r="I33" s="126" t="n"/>
      <c r="J33" s="13" t="n"/>
      <c r="K33" s="126" t="n"/>
      <c r="L33" s="13" t="n"/>
    </row>
    <row customHeight="1" ht="30" r="34">
      <c r="A34" s="30" t="n"/>
      <c r="B34" s="50" t="inlineStr">
        <is>
          <t>DC Power
直流功率</t>
        </is>
      </c>
      <c r="C34" s="36" t="n"/>
      <c r="D34" s="36" t="n"/>
      <c r="E34" s="13" t="n"/>
      <c r="F34" s="110" t="inlineStr">
        <is>
          <t>[kW]</t>
        </is>
      </c>
      <c r="G34" s="137">
        <f>IF(G33="","",G32*G33/1000)</f>
        <v/>
      </c>
      <c r="H34" s="13" t="n"/>
      <c r="I34" s="137">
        <f>IF(I33="","",I32*I33/1000)</f>
        <v/>
      </c>
      <c r="J34" s="13" t="n"/>
      <c r="K34" s="137">
        <f>IF(K33="","",K32*K33/1000)</f>
        <v/>
      </c>
      <c r="L34" s="13" t="n"/>
    </row>
    <row customHeight="1" ht="21.75" r="35">
      <c r="A35" s="179" t="n"/>
    </row>
    <row customHeight="1" ht="30" r="36">
      <c r="A36" s="48" t="inlineStr">
        <is>
          <t>AC Parameters
交流电参数</t>
        </is>
      </c>
      <c r="B36" s="50" t="inlineStr">
        <is>
          <t>Inverter Output Voltage ph-n 
逆变器输出电压</t>
        </is>
      </c>
      <c r="C36" s="36" t="n"/>
      <c r="D36" s="36" t="n"/>
      <c r="E36" s="13" t="n"/>
      <c r="F36" s="186" t="inlineStr">
        <is>
          <t>[VRMS]</t>
        </is>
      </c>
      <c r="G36" s="126" t="n"/>
      <c r="H36" s="13" t="n"/>
      <c r="I36" s="126" t="n"/>
      <c r="J36" s="13" t="n"/>
      <c r="K36" s="126" t="n"/>
      <c r="L36" s="13" t="n"/>
    </row>
    <row customHeight="1" ht="30" r="37">
      <c r="A37" s="26" t="n"/>
      <c r="B37" s="50" t="inlineStr">
        <is>
          <t>Inverter Output Voltage (Fundamental ph-n) 
逆变器输出电压</t>
        </is>
      </c>
      <c r="C37" s="36" t="n"/>
      <c r="D37" s="36" t="n"/>
      <c r="E37" s="13" t="n"/>
      <c r="F37" s="108" t="inlineStr">
        <is>
          <t>[VRMS]</t>
        </is>
      </c>
      <c r="G37" s="126" t="n"/>
      <c r="H37" s="13" t="n"/>
      <c r="I37" s="126" t="n"/>
      <c r="J37" s="13" t="n"/>
      <c r="K37" s="126" t="n"/>
      <c r="L37" s="13" t="n"/>
    </row>
    <row customHeight="1" ht="30" r="38">
      <c r="A38" s="26" t="n"/>
      <c r="B38" s="50" t="inlineStr">
        <is>
          <t>Inverter Output Current 
逆变器输出电流</t>
        </is>
      </c>
      <c r="C38" s="36" t="n"/>
      <c r="D38" s="36" t="n"/>
      <c r="E38" s="13" t="n"/>
      <c r="F38" s="108" t="inlineStr">
        <is>
          <t>[ARMS]</t>
        </is>
      </c>
      <c r="G38" s="126" t="n"/>
      <c r="H38" s="13" t="n"/>
      <c r="I38" s="126" t="n"/>
      <c r="J38" s="13" t="n"/>
      <c r="K38" s="126" t="n"/>
      <c r="L38" s="13" t="n"/>
    </row>
    <row customHeight="1" ht="30" r="39">
      <c r="A39" s="26" t="n"/>
      <c r="B39" s="50" t="inlineStr">
        <is>
          <t>Inverter Output Current (Fundamental) [A]
逆变器输出电流</t>
        </is>
      </c>
      <c r="C39" s="36" t="n"/>
      <c r="D39" s="36" t="n"/>
      <c r="E39" s="13" t="n"/>
      <c r="F39" s="108" t="inlineStr">
        <is>
          <t>[ARMS]</t>
        </is>
      </c>
      <c r="G39" s="126" t="n"/>
      <c r="H39" s="13" t="n"/>
      <c r="I39" s="126" t="n"/>
      <c r="J39" s="13" t="n"/>
      <c r="K39" s="126" t="n"/>
      <c r="L39" s="13" t="n"/>
    </row>
    <row customHeight="1" ht="30" r="40">
      <c r="A40" s="26" t="n"/>
      <c r="B40" s="50" t="inlineStr">
        <is>
          <t>Inverter Output Power 
逆变器输出功率</t>
        </is>
      </c>
      <c r="C40" s="36" t="n"/>
      <c r="D40" s="36" t="n"/>
      <c r="E40" s="13" t="n"/>
      <c r="F40" s="108" t="inlineStr">
        <is>
          <t>[kW]</t>
        </is>
      </c>
      <c r="G40" s="126" t="n"/>
      <c r="H40" s="13" t="n"/>
      <c r="I40" s="126" t="n"/>
      <c r="J40" s="13" t="n"/>
      <c r="K40" s="126" t="n"/>
      <c r="L40" s="13" t="n"/>
    </row>
    <row customHeight="1" ht="30" r="41">
      <c r="A41" s="26" t="n"/>
      <c r="B41" s="50" t="inlineStr">
        <is>
          <t>Inverter Output Power (Fundamental)
逆变器输出功率</t>
        </is>
      </c>
      <c r="C41" s="36" t="n"/>
      <c r="D41" s="36" t="n"/>
      <c r="E41" s="13" t="n"/>
      <c r="F41" s="108" t="inlineStr">
        <is>
          <t>[kW]</t>
        </is>
      </c>
      <c r="G41" s="126" t="n"/>
      <c r="H41" s="13" t="n"/>
      <c r="I41" s="126" t="n"/>
      <c r="J41" s="13" t="n"/>
      <c r="K41" s="126" t="n"/>
      <c r="L41" s="13" t="n"/>
    </row>
    <row customHeight="1" ht="30" r="42">
      <c r="A42" s="26" t="n"/>
      <c r="B42" s="50" t="inlineStr">
        <is>
          <t>Inverter Output Power Factor
逆变器输出功率系数</t>
        </is>
      </c>
      <c r="C42" s="36" t="n"/>
      <c r="D42" s="36" t="n"/>
      <c r="E42" s="36" t="n"/>
      <c r="F42" s="13" t="n"/>
      <c r="G42" s="126" t="n"/>
      <c r="H42" s="13" t="n"/>
      <c r="I42" s="126" t="n"/>
      <c r="J42" s="13" t="n"/>
      <c r="K42" s="126" t="n"/>
      <c r="L42" s="13" t="n"/>
    </row>
    <row customHeight="1" ht="30" r="43">
      <c r="A43" s="30" t="n"/>
      <c r="B43" s="50" t="inlineStr">
        <is>
          <t>Inverter Output Power Factor (Fundamental)
逆变器输出功率系数</t>
        </is>
      </c>
      <c r="C43" s="36" t="n"/>
      <c r="D43" s="36" t="n"/>
      <c r="E43" s="36" t="n"/>
      <c r="F43" s="13" t="n"/>
      <c r="G43" s="126" t="n"/>
      <c r="H43" s="13" t="n"/>
      <c r="I43" s="126" t="n"/>
      <c r="J43" s="13" t="n"/>
      <c r="K43" s="126" t="n"/>
      <c r="L43" s="13" t="n"/>
    </row>
    <row customHeight="1" ht="9.949999999999999" r="44">
      <c r="A44" s="180" t="n"/>
      <c r="B44" s="24" t="n"/>
      <c r="C44" s="24" t="n"/>
      <c r="D44" s="24" t="n"/>
      <c r="E44" s="24" t="n"/>
      <c r="F44" s="24" t="n"/>
      <c r="G44" s="24" t="n"/>
      <c r="H44" s="24" t="n"/>
      <c r="I44" s="24" t="n"/>
      <c r="J44" s="24" t="n"/>
      <c r="K44" s="24" t="n"/>
      <c r="L44" s="24" t="n"/>
    </row>
    <row customHeight="1" ht="30" r="45">
      <c r="A45" s="48" t="inlineStr">
        <is>
          <t>Efficiency
效率</t>
        </is>
      </c>
      <c r="B45" s="58" t="inlineStr">
        <is>
          <t>Kt ideal@20°C &amp; 1000 rpm</t>
        </is>
      </c>
      <c r="C45" s="36" t="n"/>
      <c r="D45" s="36" t="n"/>
      <c r="E45" s="13" t="n"/>
      <c r="F45" s="129" t="inlineStr">
        <is>
          <t>[Nm/A]</t>
        </is>
      </c>
      <c r="G45" s="191">
        <f>IF(G20="","",SQRT(3)*G20/(2*PI()*1000/60))</f>
        <v/>
      </c>
      <c r="H45" s="13" t="n"/>
      <c r="I45" s="119">
        <f>IF(I20="","",SQRT(3)*I20/(2*PI()*1000/60))</f>
        <v/>
      </c>
      <c r="J45" s="13" t="n"/>
      <c r="K45" s="119">
        <f>IF(K20="","",SQRT(3)*K20/(2*PI()*1000/60))</f>
        <v/>
      </c>
      <c r="L45" s="13" t="n"/>
    </row>
    <row customHeight="1" ht="30" r="46">
      <c r="A46" s="26" t="n"/>
      <c r="B46" s="58" t="inlineStr">
        <is>
          <t>CTEMP before and after testing</t>
        </is>
      </c>
      <c r="C46" s="36" t="n"/>
      <c r="D46" s="36" t="n"/>
      <c r="E46" s="36" t="n"/>
      <c r="F46" s="13" t="n"/>
      <c r="G46" s="191">
        <f>IF(G29="","",G29/G20)</f>
        <v/>
      </c>
      <c r="H46" s="13" t="n"/>
      <c r="I46" s="119">
        <f>IF(I29="","",I29/I20)</f>
        <v/>
      </c>
      <c r="J46" s="13" t="n"/>
      <c r="K46" s="119">
        <f>IF(K29="","",K29/K20)</f>
        <v/>
      </c>
      <c r="L46" s="13" t="n"/>
    </row>
    <row customHeight="1" ht="30" r="47">
      <c r="A47" s="26" t="n"/>
      <c r="B47" s="58" t="inlineStr">
        <is>
          <t>CSAT</t>
        </is>
      </c>
      <c r="C47" s="36" t="n"/>
      <c r="D47" s="36" t="n"/>
      <c r="E47" s="36" t="n"/>
      <c r="F47" s="13" t="n"/>
      <c r="G47" s="191">
        <f>IF(G39="","",1-(0.000573*G39+0.042348))</f>
        <v/>
      </c>
      <c r="H47" s="13" t="n"/>
      <c r="I47" s="119">
        <f>IF(I39="","",1-(0.000573*I39+0.042348))</f>
        <v/>
      </c>
      <c r="J47" s="13" t="n"/>
      <c r="K47" s="119">
        <f>IF(K39="","",1-(0.000573*K39+0.042348))</f>
        <v/>
      </c>
      <c r="L47" s="13" t="n"/>
    </row>
    <row customHeight="1" ht="30" r="48">
      <c r="A48" s="26" t="n"/>
      <c r="B48" s="50" t="inlineStr">
        <is>
          <t>Kt expected 
期望Kt值</t>
        </is>
      </c>
      <c r="C48" s="36" t="n"/>
      <c r="D48" s="36" t="n"/>
      <c r="E48" s="13" t="n"/>
      <c r="F48" s="58" t="inlineStr">
        <is>
          <t>[Nm/A]</t>
        </is>
      </c>
      <c r="G48" s="191">
        <f>IF(OR(G45="",G46="",G47=""),"",G46*G47*G45)</f>
        <v/>
      </c>
      <c r="H48" s="13" t="n"/>
      <c r="I48" s="119">
        <f>IF(OR(I45="",I46="",I47=""),"",I46*I47*I45)</f>
        <v/>
      </c>
      <c r="J48" s="13" t="n"/>
      <c r="K48" s="119">
        <f>IF(OR(K45="",K46="",K47=""),"",K46*K47*K45)</f>
        <v/>
      </c>
      <c r="L48" s="13" t="n"/>
    </row>
    <row customHeight="1" ht="30" r="49">
      <c r="A49" s="26" t="n"/>
      <c r="B49" s="50" t="inlineStr">
        <is>
          <t>Kt at end of test 
测试后Kt值</t>
        </is>
      </c>
      <c r="C49" s="36" t="n"/>
      <c r="D49" s="36" t="n"/>
      <c r="E49" s="13" t="n"/>
      <c r="F49" s="58" t="inlineStr">
        <is>
          <t>[Nm/A]</t>
        </is>
      </c>
      <c r="G49" s="191">
        <f>IF(G38="","",G27/G38)</f>
        <v/>
      </c>
      <c r="H49" s="13" t="n"/>
      <c r="I49" s="119">
        <f>IF(I38="","",I27/I38)</f>
        <v/>
      </c>
      <c r="J49" s="13" t="n"/>
      <c r="K49" s="119">
        <f>IF(K38="","",K27/K38)</f>
        <v/>
      </c>
      <c r="L49" s="13" t="n"/>
    </row>
    <row customHeight="1" ht="30" r="50">
      <c r="A50" s="26" t="n"/>
      <c r="B50" s="50" t="inlineStr">
        <is>
          <t>Actual Loss Motor
电机实际损失</t>
        </is>
      </c>
      <c r="C50" s="36" t="n"/>
      <c r="D50" s="36" t="n"/>
      <c r="E50" s="13" t="n"/>
      <c r="F50" s="58" t="inlineStr">
        <is>
          <t>[kW]</t>
        </is>
      </c>
      <c r="G50" s="191">
        <f>ABS(ABS(G40)-ABS(G28))</f>
        <v/>
      </c>
      <c r="H50" s="13" t="n"/>
      <c r="I50" s="191">
        <f>ABS(ABS(I40)-ABS(I28))</f>
        <v/>
      </c>
      <c r="J50" s="13" t="n"/>
      <c r="K50" s="191">
        <f>ABS(ABS(K40)-ABS(K28))</f>
        <v/>
      </c>
      <c r="L50" s="13" t="n"/>
    </row>
    <row customHeight="1" ht="30" r="51">
      <c r="A51" s="26" t="n"/>
      <c r="B51" s="50" t="inlineStr">
        <is>
          <t>Actual Loss Inverter
逆变器实际损失</t>
        </is>
      </c>
      <c r="C51" s="36" t="n"/>
      <c r="D51" s="36" t="n"/>
      <c r="E51" s="13" t="n"/>
      <c r="F51" s="58" t="inlineStr">
        <is>
          <t>[kW]</t>
        </is>
      </c>
      <c r="G51" s="191">
        <f>ABS(ABS(G34)-ABS(G40))</f>
        <v/>
      </c>
      <c r="H51" s="13" t="n"/>
      <c r="I51" s="191">
        <f>ABS(ABS(I34)-ABS(I40))</f>
        <v/>
      </c>
      <c r="J51" s="13" t="n"/>
      <c r="K51" s="191">
        <f>ABS(ABS(K34)-ABS(K40))</f>
        <v/>
      </c>
      <c r="L51" s="13" t="n"/>
    </row>
    <row customHeight="1" ht="30" r="52">
      <c r="A52" s="26" t="n"/>
      <c r="B52" s="50" t="inlineStr">
        <is>
          <t>Efficiency Motor 
电机效率</t>
        </is>
      </c>
      <c r="C52" s="36" t="n"/>
      <c r="D52" s="36" t="n"/>
      <c r="E52" s="36" t="n"/>
      <c r="F52" s="13" t="n"/>
      <c r="G52" s="192">
        <f>IF(OR(G4="Traction &amp; Torque",G4="Traction &amp; Speed"),ABS(G40)/ABS(G28),ABS(G28)/ABS(G40))</f>
        <v/>
      </c>
      <c r="H52" s="13" t="n"/>
      <c r="I52" s="194">
        <f>IF(OR(I4="Traction &amp; Torque",I4="Traction &amp; Speed"),ABS(I40)/ABS(I28),ABS(I28)/ABS(I40))</f>
        <v/>
      </c>
      <c r="J52" s="13" t="n"/>
      <c r="K52" s="194">
        <f>IF(OR(K4="Traction &amp; Torque",K4="Traction &amp; Speed"),ABS(K40)/ABS(K28),ABS(K28)/ABS(K40))</f>
        <v/>
      </c>
      <c r="L52" s="13" t="n"/>
    </row>
    <row customHeight="1" ht="30" r="53">
      <c r="A53" s="26" t="n"/>
      <c r="B53" s="50" t="inlineStr">
        <is>
          <t>Efficiency Motor (Fundamental)
电机效率</t>
        </is>
      </c>
      <c r="C53" s="36" t="n"/>
      <c r="D53" s="36" t="n"/>
      <c r="E53" s="13" t="n"/>
      <c r="F53" s="58" t="inlineStr">
        <is>
          <t>[%]</t>
        </is>
      </c>
      <c r="G53" s="192">
        <f>IF(OR(G4="Traction &amp; Torque",G4="Traction &amp; Speed"),ABS(G41)/ABS(G28),ABS(G28)/ABS(G41))</f>
        <v/>
      </c>
      <c r="H53" s="13" t="n"/>
      <c r="I53" s="194">
        <f>IF(OR(I4="Traction &amp; Torque",I4="Traction &amp; Speed"),ABS(I41)/ABS(I28),ABS(I28)/ABS(I41))</f>
        <v/>
      </c>
      <c r="J53" s="13" t="n"/>
      <c r="K53" s="194">
        <f>IF(OR(K4="Traction &amp; Torque",K4="Traction &amp; Speed"),ABS(K41)/ABS(K28),ABS(K28)/ABS(K41))</f>
        <v/>
      </c>
      <c r="L53" s="13" t="n"/>
    </row>
    <row customHeight="1" ht="30" r="54">
      <c r="A54" s="26" t="n"/>
      <c r="B54" s="50" t="inlineStr">
        <is>
          <t>Efficiency Inverter
逆变器效率</t>
        </is>
      </c>
      <c r="C54" s="36" t="n"/>
      <c r="D54" s="36" t="n"/>
      <c r="E54" s="13" t="n"/>
      <c r="F54" s="58" t="inlineStr">
        <is>
          <t>[%]</t>
        </is>
      </c>
      <c r="G54" s="192">
        <f>G41/G34</f>
        <v/>
      </c>
      <c r="H54" s="13" t="n"/>
      <c r="I54" s="192">
        <f>I41/I34</f>
        <v/>
      </c>
      <c r="J54" s="13" t="n"/>
      <c r="K54" s="192">
        <f>K41/K34</f>
        <v/>
      </c>
      <c r="L54" s="13" t="n"/>
    </row>
    <row customHeight="1" ht="30" r="55">
      <c r="A55" s="30" t="n"/>
      <c r="B55" s="50" t="inlineStr">
        <is>
          <t>Efficiency System
系统效率</t>
        </is>
      </c>
      <c r="C55" s="36" t="n"/>
      <c r="D55" s="36" t="n"/>
      <c r="E55" s="13" t="n"/>
      <c r="F55" s="58" t="inlineStr">
        <is>
          <t>[%]</t>
        </is>
      </c>
      <c r="G55" s="192">
        <f>G28/G34</f>
        <v/>
      </c>
      <c r="H55" s="13" t="n"/>
      <c r="I55" s="192">
        <f>I28/I34</f>
        <v/>
      </c>
      <c r="J55" s="13" t="n"/>
      <c r="K55" s="192">
        <f>K28/K34</f>
        <v/>
      </c>
      <c r="L55" s="13" t="n"/>
    </row>
    <row r="56">
      <c r="A56" s="183" t="n"/>
      <c r="B56" s="183" t="n"/>
      <c r="C56" s="183" t="n"/>
      <c r="D56" s="183" t="n"/>
      <c r="E56" s="183" t="n"/>
      <c r="F56" s="183" t="n"/>
      <c r="G56" s="183" t="n"/>
      <c r="H56" s="183" t="n"/>
      <c r="I56" s="183" t="n"/>
      <c r="J56" s="183" t="n"/>
    </row>
    <row r="57">
      <c r="A57" s="98" t="inlineStr">
        <is>
          <t>Test Propose</t>
        </is>
      </c>
    </row>
    <row customHeight="1" ht="30" r="58">
      <c r="A58" s="184" t="inlineStr">
        <is>
          <t>The purpose of this test is to measure DUT continuous performance with specific cooling conditions.
目的是测量DUT连续性能与特定的冷却条件。</t>
        </is>
      </c>
      <c r="B58" s="36" t="n"/>
      <c r="C58" s="36" t="n"/>
      <c r="D58" s="36" t="n"/>
      <c r="E58" s="36" t="n"/>
      <c r="F58" s="36" t="n"/>
      <c r="G58" s="36" t="n"/>
      <c r="H58" s="36" t="n"/>
      <c r="I58" s="36" t="n"/>
      <c r="J58" s="13" t="n"/>
    </row>
    <row r="59">
      <c r="A59" s="53" t="n"/>
      <c r="B59" s="54" t="inlineStr">
        <is>
          <t>Automatic calculate
自动计算</t>
        </is>
      </c>
    </row>
    <row r="60"/>
  </sheetData>
  <mergeCells count="195">
    <mergeCell ref="C1:N1"/>
    <mergeCell ref="C2:N2"/>
    <mergeCell ref="A3:J3"/>
    <mergeCell ref="B4:F4"/>
    <mergeCell ref="G4:H4"/>
    <mergeCell ref="I4:J4"/>
    <mergeCell ref="K4:L4"/>
    <mergeCell ref="B5:F5"/>
    <mergeCell ref="G5:H5"/>
    <mergeCell ref="I5:J5"/>
    <mergeCell ref="K5:L5"/>
    <mergeCell ref="B6:E6"/>
    <mergeCell ref="G6:H6"/>
    <mergeCell ref="I6:J6"/>
    <mergeCell ref="K6:L6"/>
    <mergeCell ref="B7:E7"/>
    <mergeCell ref="G7:L7"/>
    <mergeCell ref="A8:L8"/>
    <mergeCell ref="B9:E9"/>
    <mergeCell ref="G9:L9"/>
    <mergeCell ref="B10:E10"/>
    <mergeCell ref="G10:L10"/>
    <mergeCell ref="B11:E11"/>
    <mergeCell ref="G11:L11"/>
    <mergeCell ref="B12:E12"/>
    <mergeCell ref="G12:L12"/>
    <mergeCell ref="B13:E13"/>
    <mergeCell ref="G13:L13"/>
    <mergeCell ref="B14:E14"/>
    <mergeCell ref="G14:L14"/>
    <mergeCell ref="B15:E15"/>
    <mergeCell ref="G15:H15"/>
    <mergeCell ref="I15:J15"/>
    <mergeCell ref="K15:L15"/>
    <mergeCell ref="B16:E16"/>
    <mergeCell ref="G16:H16"/>
    <mergeCell ref="I16:J16"/>
    <mergeCell ref="K16:L16"/>
    <mergeCell ref="B17:E17"/>
    <mergeCell ref="G17:H17"/>
    <mergeCell ref="I17:J17"/>
    <mergeCell ref="K17:L17"/>
    <mergeCell ref="B18:E18"/>
    <mergeCell ref="G18:H18"/>
    <mergeCell ref="I18:J18"/>
    <mergeCell ref="K18:L18"/>
    <mergeCell ref="V18:W18"/>
    <mergeCell ref="A19:L19"/>
    <mergeCell ref="V19:W19"/>
    <mergeCell ref="B20:E20"/>
    <mergeCell ref="G20:H20"/>
    <mergeCell ref="I20:J20"/>
    <mergeCell ref="K20:L20"/>
    <mergeCell ref="B21:E21"/>
    <mergeCell ref="G21:H21"/>
    <mergeCell ref="I21:J21"/>
    <mergeCell ref="K21:L21"/>
    <mergeCell ref="B22:E22"/>
    <mergeCell ref="G22:H22"/>
    <mergeCell ref="I22:J22"/>
    <mergeCell ref="K22:L22"/>
    <mergeCell ref="B23:E23"/>
    <mergeCell ref="G23:H23"/>
    <mergeCell ref="I23:J23"/>
    <mergeCell ref="K23:L23"/>
    <mergeCell ref="B24:E24"/>
    <mergeCell ref="G24:H24"/>
    <mergeCell ref="I24:J24"/>
    <mergeCell ref="K24:L24"/>
    <mergeCell ref="B25:E25"/>
    <mergeCell ref="G25:H25"/>
    <mergeCell ref="I25:J25"/>
    <mergeCell ref="K25:L25"/>
    <mergeCell ref="B26:E26"/>
    <mergeCell ref="G26:H26"/>
    <mergeCell ref="I26:J26"/>
    <mergeCell ref="K26:L26"/>
    <mergeCell ref="B27:F27"/>
    <mergeCell ref="G27:H27"/>
    <mergeCell ref="I27:J27"/>
    <mergeCell ref="K27:L27"/>
    <mergeCell ref="B28:E28"/>
    <mergeCell ref="G28:H28"/>
    <mergeCell ref="I28:J28"/>
    <mergeCell ref="K28:L28"/>
    <mergeCell ref="B29:F29"/>
    <mergeCell ref="G29:H29"/>
    <mergeCell ref="I29:J29"/>
    <mergeCell ref="K29:L29"/>
    <mergeCell ref="B30:F30"/>
    <mergeCell ref="G30:H30"/>
    <mergeCell ref="I30:J30"/>
    <mergeCell ref="K30:L30"/>
    <mergeCell ref="A31:L31"/>
    <mergeCell ref="B32:E32"/>
    <mergeCell ref="G32:H32"/>
    <mergeCell ref="I32:J32"/>
    <mergeCell ref="K32:L32"/>
    <mergeCell ref="B33:E33"/>
    <mergeCell ref="G33:H33"/>
    <mergeCell ref="I33:J33"/>
    <mergeCell ref="K33:L33"/>
    <mergeCell ref="B34:E34"/>
    <mergeCell ref="G34:H34"/>
    <mergeCell ref="I34:J34"/>
    <mergeCell ref="K34:L34"/>
    <mergeCell ref="A35:L35"/>
    <mergeCell ref="B36:E36"/>
    <mergeCell ref="G36:H36"/>
    <mergeCell ref="I36:J36"/>
    <mergeCell ref="K36:L36"/>
    <mergeCell ref="B37:E37"/>
    <mergeCell ref="G37:H37"/>
    <mergeCell ref="I37:J37"/>
    <mergeCell ref="K37:L37"/>
    <mergeCell ref="B38:E38"/>
    <mergeCell ref="G38:H38"/>
    <mergeCell ref="I38:J38"/>
    <mergeCell ref="K38:L38"/>
    <mergeCell ref="B39:E39"/>
    <mergeCell ref="G39:H39"/>
    <mergeCell ref="I39:J39"/>
    <mergeCell ref="K39:L39"/>
    <mergeCell ref="B40:E40"/>
    <mergeCell ref="G40:H40"/>
    <mergeCell ref="I40:J40"/>
    <mergeCell ref="K40:L40"/>
    <mergeCell ref="B41:E41"/>
    <mergeCell ref="G41:H41"/>
    <mergeCell ref="I41:J41"/>
    <mergeCell ref="K41:L41"/>
    <mergeCell ref="B42:F42"/>
    <mergeCell ref="G42:H42"/>
    <mergeCell ref="I42:J42"/>
    <mergeCell ref="K42:L42"/>
    <mergeCell ref="B43:F43"/>
    <mergeCell ref="G43:H43"/>
    <mergeCell ref="I43:J43"/>
    <mergeCell ref="K43:L43"/>
    <mergeCell ref="A44:L44"/>
    <mergeCell ref="B45:E45"/>
    <mergeCell ref="G45:H45"/>
    <mergeCell ref="I45:J45"/>
    <mergeCell ref="K45:L45"/>
    <mergeCell ref="B46:F46"/>
    <mergeCell ref="G46:H46"/>
    <mergeCell ref="I46:J46"/>
    <mergeCell ref="K46:L46"/>
    <mergeCell ref="B47:F47"/>
    <mergeCell ref="G47:H47"/>
    <mergeCell ref="I47:J47"/>
    <mergeCell ref="K47:L47"/>
    <mergeCell ref="B48:E48"/>
    <mergeCell ref="G48:H48"/>
    <mergeCell ref="I48:J48"/>
    <mergeCell ref="K48:L48"/>
    <mergeCell ref="B49:E49"/>
    <mergeCell ref="G49:H49"/>
    <mergeCell ref="I49:J49"/>
    <mergeCell ref="K49:L49"/>
    <mergeCell ref="B50:E50"/>
    <mergeCell ref="G50:H50"/>
    <mergeCell ref="I50:J50"/>
    <mergeCell ref="K50:L50"/>
    <mergeCell ref="B51:E51"/>
    <mergeCell ref="G51:H51"/>
    <mergeCell ref="I51:J51"/>
    <mergeCell ref="K51:L51"/>
    <mergeCell ref="B52:F52"/>
    <mergeCell ref="G52:H52"/>
    <mergeCell ref="I52:J52"/>
    <mergeCell ref="K52:L52"/>
    <mergeCell ref="B53:E53"/>
    <mergeCell ref="G53:H53"/>
    <mergeCell ref="I53:J53"/>
    <mergeCell ref="K53:L53"/>
    <mergeCell ref="B54:E54"/>
    <mergeCell ref="G54:H54"/>
    <mergeCell ref="I54:J54"/>
    <mergeCell ref="K54:L54"/>
    <mergeCell ref="B55:E55"/>
    <mergeCell ref="G55:H55"/>
    <mergeCell ref="I55:J55"/>
    <mergeCell ref="K55:L55"/>
    <mergeCell ref="A57:J57"/>
    <mergeCell ref="A58:J58"/>
    <mergeCell ref="A4:A7"/>
    <mergeCell ref="A9:A18"/>
    <mergeCell ref="A20:A30"/>
    <mergeCell ref="A32:A34"/>
    <mergeCell ref="A36:A43"/>
    <mergeCell ref="A45:A55"/>
    <mergeCell ref="A59:A60"/>
    <mergeCell ref="A1:B2"/>
    <mergeCell ref="B59:C60"/>
  </mergeCells>
  <conditionalFormatting sqref="G5">
    <cfRule dxfId="0" priority="66" type="expression">
      <formula>#REF!="FAILED"</formula>
    </cfRule>
  </conditionalFormatting>
  <conditionalFormatting sqref="G10">
    <cfRule dxfId="0" priority="70" type="expression">
      <formula>#REF!="FAILED"</formula>
    </cfRule>
  </conditionalFormatting>
  <conditionalFormatting sqref="G13">
    <cfRule dxfId="0" priority="1" type="expression">
      <formula>#REF!="FAILED"</formula>
    </cfRule>
  </conditionalFormatting>
  <conditionalFormatting sqref="G4 G15:G18">
    <cfRule dxfId="0" priority="72" type="expression">
      <formula>#REF!="FAILED"</formula>
    </cfRule>
  </conditionalFormatting>
  <conditionalFormatting sqref="I4 K4">
    <cfRule dxfId="0" priority="4" type="expression">
      <formula>#REF!="FAILED"</formula>
    </cfRule>
  </conditionalFormatting>
  <conditionalFormatting sqref="I5 K5">
    <cfRule dxfId="0" priority="2" type="expression">
      <formula>#REF!="FAILED"</formula>
    </cfRule>
  </conditionalFormatting>
  <conditionalFormatting sqref="G9 G20:G21 G24:G28 G32:G34 I24:I28 I20:I21 I36:I43 G36:G40 I32:I34 K28 K25 K32:K34 K36:K43">
    <cfRule dxfId="0" priority="76" type="expression">
      <formula>#REF!="FAILED"</formula>
    </cfRule>
  </conditionalFormatting>
  <conditionalFormatting sqref="G41:G43 G45:G55 I50:I51 K50:K51 I54:I55 K54:K55">
    <cfRule dxfId="0" priority="3" type="expression">
      <formula>#REF!="FAILED"</formula>
    </cfRule>
  </conditionalFormatting>
  <conditionalFormatting sqref="I45 K45">
    <cfRule dxfId="0" priority="60" type="expression">
      <formula>#REF!="FAILED"</formula>
    </cfRule>
  </conditionalFormatting>
  <conditionalFormatting sqref="I46 K46">
    <cfRule dxfId="0" priority="61" type="expression">
      <formula>#REF!="FAILED"</formula>
    </cfRule>
  </conditionalFormatting>
  <conditionalFormatting sqref="I47:I49 K47:K49">
    <cfRule dxfId="0" priority="64" type="expression">
      <formula>#REF!="FAILED"</formula>
    </cfRule>
  </conditionalFormatting>
  <dataValidations count="10">
    <dataValidation allowBlank="0" showErrorMessage="1" showInputMessage="1" sqref="G4 I4 K4" type="list">
      <formula1>"Traction &amp; Torque主转扭矩, Traction &amp; Speed主转速度,Generation &amp; Torque发电扭矩, Generation &amp; Speed发电速度"</formula1>
    </dataValidation>
    <dataValidation allowBlank="0" showErrorMessage="1" showInputMessage="1" sqref="G5:L5" type="list">
      <formula1>"Positive正转, Negative反转"</formula1>
    </dataValidation>
    <dataValidation allowBlank="0" showErrorMessage="1" showInputMessage="1" sqref="G6:H6" type="list">
      <formula1>"500"</formula1>
    </dataValidation>
    <dataValidation allowBlank="0" showErrorMessage="1" showInputMessage="1" sqref="I6:J6" type="list">
      <formula1>"6000"</formula1>
    </dataValidation>
    <dataValidation allowBlank="0" showErrorMessage="1" showInputMessage="1" sqref="K6:L6" type="list">
      <formula1>"500,6000,10000"</formula1>
    </dataValidation>
    <dataValidation allowBlank="0" showErrorMessage="1" showInputMessage="1" sqref="G7" type="list">
      <formula1>"150"</formula1>
    </dataValidation>
    <dataValidation allowBlank="0" showErrorMessage="1" showInputMessage="1" sqref="G9" type="list">
      <formula1>"10,8"</formula1>
    </dataValidation>
    <dataValidation allowBlank="0" showErrorMessage="1" showInputMessage="1" sqref="G10" type="list">
      <formula1>"&lt;100"</formula1>
    </dataValidation>
    <dataValidation allowBlank="0" showErrorMessage="1" showInputMessage="1" sqref="G12 G14" type="list">
      <formula1>"20,45,55"</formula1>
    </dataValidation>
    <dataValidation allowBlank="0" showErrorMessage="1" showInputMessage="1" sqref="G13" type="list">
      <formula1>"8,10"</formula1>
    </dataValidation>
  </dataValidations>
  <pageMargins bottom="0.3" footer="0.3" header="0.3" left="0.3" right="0.3" top="0.3"/>
  <pageSetup orientation="landscape"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57"/>
  <sheetViews>
    <sheetView workbookViewId="0">
      <selection activeCell="G23" sqref="G23"/>
    </sheetView>
  </sheetViews>
  <sheetFormatPr baseColWidth="8" defaultColWidth="9" defaultRowHeight="16.8"/>
  <cols>
    <col customWidth="1" max="1" min="1" width="47.4230769230769"/>
    <col customWidth="1" max="3" min="2" width="19.4230769230769"/>
    <col customWidth="1" max="11" min="4" width="9.14423076923077"/>
  </cols>
  <sheetData>
    <row customHeight="1" ht="17.55" r="1">
      <c r="A1" t="inlineStr">
        <is>
          <t>Test date</t>
        </is>
      </c>
      <c r="D1" s="141" t="n"/>
    </row>
    <row r="2">
      <c r="A2" s="142" t="inlineStr">
        <is>
          <t>Description</t>
        </is>
      </c>
      <c r="B2" s="143" t="n"/>
      <c r="C2" s="143" t="n"/>
    </row>
    <row customHeight="1" ht="15" r="3">
      <c r="A3" s="144" t="inlineStr">
        <is>
          <t>Pole pairs</t>
        </is>
      </c>
      <c r="B3" s="145" t="n">
        <v>5</v>
      </c>
      <c r="C3" s="145" t="n">
        <v>5</v>
      </c>
    </row>
    <row r="4">
      <c r="A4" s="144" t="inlineStr">
        <is>
          <t>Machine model</t>
        </is>
      </c>
      <c r="B4" s="146">
        <f>IF(ABS(B27)&lt;ABS(B38),"Motor","Regen")</f>
        <v/>
      </c>
      <c r="C4" s="146">
        <f>IF(ABS(C27)&lt;ABS(C38),"Motor","Regen")</f>
        <v/>
      </c>
    </row>
    <row r="5">
      <c r="A5" s="144" t="inlineStr">
        <is>
          <t>M.U.T. control mode</t>
        </is>
      </c>
      <c r="B5" s="147" t="inlineStr">
        <is>
          <t>Torque</t>
        </is>
      </c>
      <c r="C5" s="147" t="inlineStr">
        <is>
          <t>Torque</t>
        </is>
      </c>
    </row>
    <row r="6">
      <c r="A6" s="148" t="inlineStr">
        <is>
          <t>Type of test</t>
        </is>
      </c>
      <c r="B6" s="149" t="inlineStr">
        <is>
          <t>Efficiency</t>
        </is>
      </c>
      <c r="C6" s="149" t="inlineStr">
        <is>
          <t>Efficiency</t>
        </is>
      </c>
    </row>
    <row r="7">
      <c r="A7" s="148" t="inlineStr">
        <is>
          <t>Rotating direction</t>
        </is>
      </c>
      <c r="B7" s="149" t="n"/>
      <c r="C7" s="149" t="n"/>
    </row>
    <row customHeight="1" ht="17.55" r="8">
      <c r="A8" s="150" t="inlineStr">
        <is>
          <t>Speed Set Point [rpm]</t>
        </is>
      </c>
      <c r="B8" s="63" t="n"/>
      <c r="C8" s="63" t="n"/>
    </row>
    <row r="9">
      <c r="A9" s="148" t="inlineStr">
        <is>
          <t>Flow Rate Motor [l/min]</t>
        </is>
      </c>
      <c r="B9" s="149" t="n"/>
      <c r="C9" s="149" t="n"/>
    </row>
    <row r="10">
      <c r="A10" s="148" t="inlineStr">
        <is>
          <t>Coolant Pressure [Kpa]</t>
        </is>
      </c>
      <c r="B10" s="149" t="n"/>
      <c r="C10" s="149" t="n"/>
    </row>
    <row r="11">
      <c r="A11" s="148" t="inlineStr">
        <is>
          <t>Ambient Room Temperature [deg C]</t>
        </is>
      </c>
      <c r="B11" s="149" t="n"/>
      <c r="C11" s="149" t="n"/>
    </row>
    <row r="12">
      <c r="A12" s="148" t="inlineStr">
        <is>
          <t>Coolant Temp. In Motor [deg C]</t>
        </is>
      </c>
      <c r="B12" s="149" t="n"/>
      <c r="C12" s="149" t="n"/>
    </row>
    <row r="13">
      <c r="A13" s="148" t="inlineStr">
        <is>
          <t>Coolant Temp. Out Motor [deg C]</t>
        </is>
      </c>
      <c r="B13" s="149" t="n"/>
      <c r="C13" s="149" t="n"/>
    </row>
    <row r="14">
      <c r="A14" s="148" t="inlineStr">
        <is>
          <t>Flow Rate Inverter [l/min]</t>
        </is>
      </c>
      <c r="B14" s="149" t="n"/>
      <c r="C14" s="149" t="n"/>
    </row>
    <row r="15">
      <c r="A15" s="148" t="inlineStr">
        <is>
          <t>Coolant Temp. In Inverter [deg C]</t>
        </is>
      </c>
      <c r="B15" s="149" t="n"/>
      <c r="C15" s="149" t="n"/>
    </row>
    <row r="16">
      <c r="A16" s="151" t="inlineStr">
        <is>
          <t>IGBT Temp. Inverter [deg C]</t>
        </is>
      </c>
      <c r="B16" s="149" t="n"/>
      <c r="C16" s="149" t="n"/>
    </row>
    <row r="17">
      <c r="A17" s="152" t="inlineStr">
        <is>
          <t>Winding Temp. at end [deg C]</t>
        </is>
      </c>
      <c r="B17" s="657" t="n">
        <v>90</v>
      </c>
      <c r="C17" s="657" t="n">
        <v>88</v>
      </c>
    </row>
    <row customHeight="1" hidden="1" ht="15" r="18">
      <c r="A18" s="154" t="inlineStr">
        <is>
          <t>Back EMF before test [V] @1000 rpm</t>
        </is>
      </c>
      <c r="B18" s="657" t="n">
        <v>54.03</v>
      </c>
      <c r="C18" s="657" t="n">
        <v>54.03</v>
      </c>
    </row>
    <row customHeight="1" hidden="1" ht="15" r="19">
      <c r="A19" s="154" t="inlineStr">
        <is>
          <t>Temperature for pre-back EMF test [deg C]</t>
        </is>
      </c>
      <c r="B19" s="657" t="n">
        <v>51</v>
      </c>
      <c r="C19" s="657" t="n">
        <v>51</v>
      </c>
    </row>
    <row customHeight="1" ht="17" r="20">
      <c r="A20" s="155" t="inlineStr">
        <is>
          <t>Speed Read@Inverter Feedback [rpm]</t>
        </is>
      </c>
      <c r="B20" s="156" t="n"/>
      <c r="C20" s="156" t="n"/>
    </row>
    <row r="21">
      <c r="A21" s="152" t="inlineStr">
        <is>
          <t>Frequency [Hz]</t>
        </is>
      </c>
      <c r="B21" s="157">
        <f>ABS(B20/60*B3)</f>
        <v/>
      </c>
      <c r="C21" s="157">
        <f>ABS(C20/60*C3)</f>
        <v/>
      </c>
    </row>
    <row r="22">
      <c r="A22" s="152" t="inlineStr">
        <is>
          <t>Torque Sensor Offset [VDC]</t>
        </is>
      </c>
      <c r="B22" s="149" t="n"/>
      <c r="C22" s="149" t="n"/>
    </row>
    <row r="23">
      <c r="A23" s="152" t="inlineStr">
        <is>
          <t>Torque Sensor DC Read Value [VDC]</t>
        </is>
      </c>
      <c r="B23" s="149" t="n"/>
      <c r="C23" s="149" t="n"/>
    </row>
    <row customHeight="1" ht="17" r="24">
      <c r="A24" s="649" t="inlineStr">
        <is>
          <t>Torque measured value [VDC]</t>
        </is>
      </c>
      <c r="B24" s="658">
        <f>B23-B22</f>
        <v/>
      </c>
      <c r="C24" s="658">
        <f>C23-C22</f>
        <v/>
      </c>
    </row>
    <row customHeight="1" ht="17" r="25">
      <c r="A25" s="649" t="inlineStr">
        <is>
          <t>Torque sensor Gain</t>
        </is>
      </c>
      <c r="B25" s="156" t="n">
        <v>100.12</v>
      </c>
      <c r="C25" s="156" t="n">
        <v>100.12</v>
      </c>
    </row>
    <row customHeight="1" ht="17" r="26">
      <c r="A26" s="152" t="inlineStr">
        <is>
          <t>Torque Read@Torque Sensor [Nm]</t>
        </is>
      </c>
      <c r="B26" s="659">
        <f>B25*B24</f>
        <v/>
      </c>
      <c r="C26" s="659">
        <f>C25*C24</f>
        <v/>
      </c>
    </row>
    <row r="27">
      <c r="A27" s="154" t="inlineStr">
        <is>
          <t>Motor Power [kW]</t>
        </is>
      </c>
      <c r="B27" s="660">
        <f>B20*B26*2*PI()/60/1000</f>
        <v/>
      </c>
      <c r="C27" s="660">
        <f>C20*C26*2*PI()/60/1000</f>
        <v/>
      </c>
    </row>
    <row r="28">
      <c r="A28" s="154" t="inlineStr">
        <is>
          <t>Temperature for pos-back EMF test [deg C]</t>
        </is>
      </c>
      <c r="B28" s="162" t="n"/>
      <c r="C28" s="162" t="n"/>
    </row>
    <row customHeight="1" ht="17.75" r="29">
      <c r="A29" s="163" t="inlineStr">
        <is>
          <t>Back EMF after test @1000 rpm [V] (quick!)</t>
        </is>
      </c>
      <c r="B29" s="162" t="n"/>
      <c r="C29" s="162" t="n"/>
    </row>
    <row customHeight="1" ht="15" r="30">
      <c r="A30" s="164" t="inlineStr">
        <is>
          <t>DC Voltage [V]</t>
        </is>
      </c>
      <c r="B30" s="165" t="n">
        <v>600</v>
      </c>
      <c r="C30" s="165" t="n">
        <v>600</v>
      </c>
    </row>
    <row r="31">
      <c r="A31" s="166" t="inlineStr">
        <is>
          <t>DC Current [A]</t>
        </is>
      </c>
      <c r="B31" s="149" t="n"/>
      <c r="C31" s="149" t="n"/>
    </row>
    <row r="32">
      <c r="A32" s="166" t="inlineStr">
        <is>
          <t>DC Power [kW]</t>
        </is>
      </c>
      <c r="B32" s="167">
        <f>B31*B30/1000</f>
        <v/>
      </c>
      <c r="C32" s="167">
        <f>C31*C30/1000</f>
        <v/>
      </c>
    </row>
    <row customHeight="1" ht="17.55" r="33">
      <c r="A33" s="168" t="inlineStr">
        <is>
          <t>DC Power Factor []</t>
        </is>
      </c>
      <c r="B33" s="149" t="n">
        <v>1</v>
      </c>
      <c r="C33" s="149" t="n">
        <v>1</v>
      </c>
    </row>
    <row customHeight="1" ht="18" r="34">
      <c r="A34" s="169" t="inlineStr">
        <is>
          <t>Inverter Output Voltage ph-n [VRMS]</t>
        </is>
      </c>
      <c r="B34" s="149" t="n"/>
      <c r="C34" s="149" t="n"/>
    </row>
    <row customHeight="1" ht="20" r="35">
      <c r="A35" s="170" t="inlineStr">
        <is>
          <t>Inverter Output Voltage (Fundamental ph-n) [VRMS]</t>
        </is>
      </c>
      <c r="B35" s="149" t="n"/>
      <c r="C35" s="149" t="n"/>
    </row>
    <row r="36">
      <c r="A36" s="170" t="inlineStr">
        <is>
          <t>Inverter Output Current [A]</t>
        </is>
      </c>
      <c r="B36" s="149" t="n"/>
      <c r="C36" s="149" t="n"/>
    </row>
    <row r="37">
      <c r="A37" s="170" t="inlineStr">
        <is>
          <t>Inverter Output Current (Fundamental) [A]</t>
        </is>
      </c>
      <c r="B37" s="149" t="n"/>
      <c r="C37" s="149" t="n"/>
    </row>
    <row r="38">
      <c r="A38" s="170" t="inlineStr">
        <is>
          <t>Inverter Output Power [kW] (Fundamental)</t>
        </is>
      </c>
      <c r="B38" s="149" t="n"/>
      <c r="C38" s="149" t="n"/>
    </row>
    <row r="39">
      <c r="A39" s="170" t="inlineStr">
        <is>
          <t>Inverter Output Power Factor []</t>
        </is>
      </c>
      <c r="B39" s="149" t="n"/>
      <c r="C39" s="149" t="n"/>
    </row>
    <row customHeight="1" ht="17.55" r="40">
      <c r="A40" s="171" t="inlineStr">
        <is>
          <t>Inverter Output Power Factor [] (Fundamental)</t>
        </is>
      </c>
      <c r="B40" s="149" t="n"/>
      <c r="C40" s="149" t="n"/>
    </row>
    <row customHeight="1" hidden="1" ht="15.75" r="41">
      <c r="A41" s="169" t="inlineStr">
        <is>
          <t>Active (IQ) Current [A]</t>
        </is>
      </c>
      <c r="B41" s="149" t="n"/>
      <c r="C41" s="149" t="n"/>
    </row>
    <row customHeight="1" hidden="1" ht="15.75" r="42">
      <c r="A42" s="170" t="inlineStr">
        <is>
          <t>Magnetising (ID) Current [A]</t>
        </is>
      </c>
      <c r="B42" s="149" t="n"/>
      <c r="C42" s="149" t="n"/>
    </row>
    <row customHeight="1" hidden="1" ht="15.75" r="43">
      <c r="A43" s="170" t="inlineStr">
        <is>
          <t>Apparent Current [A]</t>
        </is>
      </c>
      <c r="B43" s="149" t="n"/>
      <c r="C43" s="149" t="n"/>
    </row>
    <row customHeight="1" hidden="1" ht="15.75" r="44">
      <c r="A44" s="170" t="inlineStr">
        <is>
          <t>Output Voltage (from Inverter) [V]</t>
        </is>
      </c>
      <c r="B44" s="149" t="n"/>
      <c r="C44" s="149" t="n"/>
    </row>
    <row customHeight="1" hidden="1" ht="15.75" r="45">
      <c r="A45" s="170" t="inlineStr">
        <is>
          <t>Modulation Grade [%]</t>
        </is>
      </c>
      <c r="B45" s="149" t="n"/>
      <c r="C45" s="149" t="n"/>
    </row>
    <row customHeight="1" hidden="1" ht="15.75" r="46">
      <c r="A46" s="170" t="inlineStr">
        <is>
          <t>Torque (from Inverter) [Nm]</t>
        </is>
      </c>
      <c r="B46" s="149" t="n"/>
      <c r="C46" s="149" t="n"/>
    </row>
    <row customHeight="1" hidden="1" ht="15.75" r="47">
      <c r="A47" s="171" t="inlineStr">
        <is>
          <t>Switching Frequency [kHz]</t>
        </is>
      </c>
      <c r="B47" s="149" t="n"/>
      <c r="C47" s="149" t="n"/>
    </row>
    <row customHeight="1" ht="18.75" r="48">
      <c r="A48" s="172" t="inlineStr">
        <is>
          <t>Kt ideal@20°C &amp; 1000 rpm [Nm/A]</t>
        </is>
      </c>
      <c r="B48" s="120">
        <f>IF(B18="","",SQRT(3)*B18/(2*PI()*1000/60))</f>
        <v/>
      </c>
      <c r="C48" s="120">
        <f>IF(C18="","",SQRT(3)*C18/(2*PI()*1000/60))</f>
        <v/>
      </c>
    </row>
    <row customHeight="1" ht="20" r="49">
      <c r="A49" s="173" t="inlineStr">
        <is>
          <t>CTEMP before and after testing [ ]</t>
        </is>
      </c>
      <c r="B49" s="120">
        <f>IF(B29="","",B29/B18)</f>
        <v/>
      </c>
      <c r="C49" s="120">
        <f>IF(C29="","",C29/C18)</f>
        <v/>
      </c>
    </row>
    <row customHeight="1" ht="20" r="50">
      <c r="A50" s="173" t="inlineStr">
        <is>
          <t>CSAT [ ]</t>
        </is>
      </c>
      <c r="B50" s="120">
        <f>IF(B37="","",1-(0.000573*B37+0.042348))</f>
        <v/>
      </c>
      <c r="C50" s="120">
        <f>IF(C37="","",1-(0.000573*C37+0.042348))</f>
        <v/>
      </c>
    </row>
    <row r="51">
      <c r="A51" s="173" t="inlineStr">
        <is>
          <t>Kt expected [Nm/A]</t>
        </is>
      </c>
      <c r="B51" s="120">
        <f>IF(OR(B48="",B49="",B50=""),"",B49*B50*B48)</f>
        <v/>
      </c>
      <c r="C51" s="120">
        <f>IF(OR(C48="",C49="",C50=""),"",C49*C50*C48)</f>
        <v/>
      </c>
    </row>
    <row r="52">
      <c r="A52" s="173" t="inlineStr">
        <is>
          <t>Kt at end of test [Nm/A]</t>
        </is>
      </c>
      <c r="B52" s="120">
        <f>IF(B36="","",B26/B36)</f>
        <v/>
      </c>
      <c r="C52" s="120">
        <f>IF(C36="","",C26/C36)</f>
        <v/>
      </c>
    </row>
    <row r="53">
      <c r="A53" s="173" t="inlineStr">
        <is>
          <t>Actual Loss Motor [kW]</t>
        </is>
      </c>
      <c r="B53" s="120">
        <f>IF(B38="","",B38-B27)</f>
        <v/>
      </c>
      <c r="C53" s="120">
        <f>IF(C38="","",C38-C27)</f>
        <v/>
      </c>
    </row>
    <row r="54">
      <c r="A54" s="173" t="inlineStr">
        <is>
          <t>Actual Loss Inverter [kW]</t>
        </is>
      </c>
      <c r="B54" s="120">
        <f>IF(B38="","",ABS(B32)-ABS(B38))</f>
        <v/>
      </c>
      <c r="C54" s="120">
        <f>IF(C38="","",ABS(C32)-ABS(C38))</f>
        <v/>
      </c>
    </row>
    <row r="55">
      <c r="A55" s="173" t="inlineStr">
        <is>
          <t>Efficiency Motor [%]</t>
        </is>
      </c>
      <c r="B55" s="174">
        <f>ABS(IF(B38="","",100*(B27/B38)))</f>
        <v/>
      </c>
      <c r="C55" s="175">
        <f>ABS(IF(C38="","",100*(C27/C38)))</f>
        <v/>
      </c>
    </row>
    <row r="56">
      <c r="A56" s="176" t="inlineStr">
        <is>
          <t>AC power SOG</t>
        </is>
      </c>
      <c r="B56" s="661">
        <f>3*B34*B36*B39/1000</f>
        <v/>
      </c>
      <c r="C56" s="661">
        <f>3*C34*C36*C39/1000</f>
        <v/>
      </c>
    </row>
    <row r="57">
      <c r="A57" s="176" t="inlineStr">
        <is>
          <t>Efficiency Motor [%]</t>
        </is>
      </c>
      <c r="B57" s="661">
        <f>100*B27/B56</f>
        <v/>
      </c>
      <c r="C57" s="661">
        <f>100*C27/C56</f>
        <v/>
      </c>
    </row>
  </sheetData>
  <dataValidations count="3">
    <dataValidation allowBlank="0" showErrorMessage="1" showInputMessage="1" sqref="B5:C5" type="list">
      <formula1>Mode</formula1>
    </dataValidation>
    <dataValidation allowBlank="0" showErrorMessage="1" showInputMessage="1" sqref="B6:C6" type="list">
      <formula1>Type_of_test</formula1>
    </dataValidation>
    <dataValidation allowBlank="0" showErrorMessage="1" showInputMessage="1" sqref="B7:C7" type="list">
      <formula1>Sense</formula1>
    </dataValidation>
  </dataValidations>
  <pageMargins bottom="0.75" footer="0.3" header="0.3" left="0.699305555555556" right="0.699305555555556" top="0.75"/>
</worksheet>
</file>

<file path=xl/worksheets/sheet15.xml><?xml version="1.0" encoding="utf-8"?>
<worksheet xmlns="http://schemas.openxmlformats.org/spreadsheetml/2006/main">
  <sheetPr>
    <outlinePr summaryBelow="1" summaryRight="1"/>
    <pageSetUpPr/>
  </sheetPr>
  <dimension ref="A1:AB60"/>
  <sheetViews>
    <sheetView showGridLines="0" topLeftCell="A37" workbookViewId="0" zoomScale="80" zoomScaleNormal="80">
      <pane activePane="topRight" state="frozen" topLeftCell="B1" xSplit="1"/>
      <selection activeCell="A1" sqref="A1"/>
      <selection activeCell="G50" pane="topRight" sqref="G50:Z50"/>
    </sheetView>
  </sheetViews>
  <sheetFormatPr baseColWidth="8" defaultColWidth="9.14423076923077" defaultRowHeight="16.8"/>
  <cols>
    <col customWidth="1" max="1" min="1" style="73" width="8.56730769230769"/>
    <col customWidth="1" max="6" min="2" style="73" width="10.5673076923077"/>
    <col customWidth="1" max="7" min="7" style="73" width="11.4230769230769"/>
    <col customWidth="1" max="26" min="8" style="73" width="10.5673076923077"/>
    <col customWidth="1" max="16384" min="27" style="73" width="9.14423076923077"/>
  </cols>
  <sheetData>
    <row customHeight="1" ht="30" r="1">
      <c r="A1" s="74" t="n"/>
      <c r="B1" s="24" t="n"/>
      <c r="C1" s="25" t="n"/>
      <c r="D1" s="6" t="inlineStr">
        <is>
          <t>PRODUCT ACCEPTANCE TEST - EFFICIENCY</t>
        </is>
      </c>
      <c r="E1" s="24" t="n"/>
      <c r="F1" s="24" t="n"/>
      <c r="G1" s="24" t="n"/>
      <c r="H1" s="24" t="n"/>
      <c r="I1" s="24" t="n"/>
      <c r="J1" s="24" t="n"/>
      <c r="K1" s="24" t="n"/>
      <c r="L1" s="24" t="n"/>
      <c r="M1" s="24" t="n"/>
      <c r="N1" s="24" t="n"/>
      <c r="O1" s="24" t="n"/>
      <c r="P1" s="25" t="n"/>
    </row>
    <row customHeight="1" ht="30" r="2">
      <c r="A2" s="75" t="n"/>
      <c r="C2" s="76" t="n"/>
      <c r="D2" s="77">
        <f>'DUT Description'!D6&amp;" - "&amp;'DUT Description'!E6</f>
        <v/>
      </c>
      <c r="P2" s="76" t="n"/>
    </row>
    <row customHeight="1" ht="30" r="3">
      <c r="A3" s="50" t="inlineStr">
        <is>
          <t>Item 10. Efficiency Measurement
              效率测试</t>
        </is>
      </c>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13" t="n"/>
      <c r="AA3" s="138" t="n"/>
      <c r="AB3" s="138" t="n"/>
    </row>
    <row customHeight="1" ht="20.1" r="4">
      <c r="A4" s="78" t="inlineStr">
        <is>
          <t>Description</t>
        </is>
      </c>
      <c r="B4" s="28" t="n"/>
      <c r="C4" s="28" t="n"/>
      <c r="D4" s="28" t="n"/>
      <c r="E4" s="28" t="n"/>
      <c r="F4" s="29" t="n"/>
      <c r="G4" s="100" t="inlineStr">
        <is>
          <t>Data 1</t>
        </is>
      </c>
      <c r="H4" s="100" t="inlineStr">
        <is>
          <t>Data 2</t>
        </is>
      </c>
      <c r="I4" s="100" t="inlineStr">
        <is>
          <t>Data 3</t>
        </is>
      </c>
      <c r="J4" s="136" t="inlineStr">
        <is>
          <t>Data 4</t>
        </is>
      </c>
      <c r="K4" s="100" t="inlineStr">
        <is>
          <t>Data 5</t>
        </is>
      </c>
      <c r="L4" s="100" t="inlineStr">
        <is>
          <t>Data 6</t>
        </is>
      </c>
      <c r="M4" s="100" t="inlineStr">
        <is>
          <t>Data 7</t>
        </is>
      </c>
      <c r="N4" s="136" t="inlineStr">
        <is>
          <t>Data 8</t>
        </is>
      </c>
      <c r="O4" s="100" t="inlineStr">
        <is>
          <t>Data 9</t>
        </is>
      </c>
      <c r="P4" s="100" t="inlineStr">
        <is>
          <t>Data 10</t>
        </is>
      </c>
      <c r="Q4" s="100" t="inlineStr">
        <is>
          <t>Data 11</t>
        </is>
      </c>
      <c r="R4" s="136" t="inlineStr">
        <is>
          <t>Data 12</t>
        </is>
      </c>
      <c r="S4" s="100" t="inlineStr">
        <is>
          <t>Data 13</t>
        </is>
      </c>
      <c r="T4" s="100" t="inlineStr">
        <is>
          <t>Data 14</t>
        </is>
      </c>
      <c r="U4" s="100" t="inlineStr">
        <is>
          <t>Data 15</t>
        </is>
      </c>
      <c r="V4" s="136" t="inlineStr">
        <is>
          <t>Data 16</t>
        </is>
      </c>
      <c r="W4" s="100" t="inlineStr">
        <is>
          <t>Data 13</t>
        </is>
      </c>
      <c r="X4" s="100" t="inlineStr">
        <is>
          <t>Data 14</t>
        </is>
      </c>
      <c r="Y4" s="100" t="inlineStr">
        <is>
          <t>Data 15</t>
        </is>
      </c>
      <c r="Z4" s="136" t="inlineStr">
        <is>
          <t>Data 16</t>
        </is>
      </c>
      <c r="AA4" s="138" t="n"/>
      <c r="AB4" s="138" t="n"/>
    </row>
    <row customHeight="1" ht="30" r="5">
      <c r="A5" s="79" t="inlineStr">
        <is>
          <t>DUT
被测电机</t>
        </is>
      </c>
      <c r="B5" s="50" t="inlineStr">
        <is>
          <t>Speed Set Point 
速度设定点</t>
        </is>
      </c>
      <c r="C5" s="36" t="n"/>
      <c r="D5" s="36" t="n"/>
      <c r="E5" s="13" t="n"/>
      <c r="F5" s="58" t="inlineStr">
        <is>
          <t>[rpm]</t>
        </is>
      </c>
      <c r="G5" s="101" t="n">
        <v>6500</v>
      </c>
      <c r="H5" s="36" t="n"/>
      <c r="I5" s="36" t="n"/>
      <c r="J5" s="13" t="n"/>
      <c r="K5" s="101" t="n">
        <v>7000</v>
      </c>
      <c r="L5" s="36" t="n"/>
      <c r="M5" s="36" t="n"/>
      <c r="N5" s="13" t="n"/>
      <c r="O5" s="101" t="n">
        <v>7500</v>
      </c>
      <c r="P5" s="36" t="n"/>
      <c r="Q5" s="36" t="n"/>
      <c r="R5" s="13" t="n"/>
      <c r="S5" s="101" t="n">
        <v>8000</v>
      </c>
      <c r="T5" s="36" t="n"/>
      <c r="U5" s="36" t="n"/>
      <c r="V5" s="13" t="n"/>
      <c r="W5" s="101" t="n">
        <v>8500</v>
      </c>
      <c r="X5" s="36" t="n"/>
      <c r="Y5" s="36" t="n"/>
      <c r="Z5" s="13" t="n"/>
      <c r="AA5" s="138" t="n"/>
      <c r="AB5" s="138" t="n"/>
    </row>
    <row customHeight="1" ht="30" r="6">
      <c r="A6" s="26" t="n"/>
      <c r="B6" s="50" t="inlineStr">
        <is>
          <t>Torque Set Point 
扭矩设置点</t>
        </is>
      </c>
      <c r="C6" s="36" t="n"/>
      <c r="D6" s="36" t="n"/>
      <c r="E6" s="13" t="n"/>
      <c r="F6" s="58" t="inlineStr">
        <is>
          <t>[Nm]</t>
        </is>
      </c>
      <c r="G6" s="102" t="n">
        <v>77</v>
      </c>
      <c r="H6" s="102" t="n">
        <v>66</v>
      </c>
      <c r="I6" s="102" t="n">
        <v>55</v>
      </c>
      <c r="J6" s="102" t="n">
        <v>44</v>
      </c>
      <c r="K6" s="102" t="n">
        <v>77</v>
      </c>
      <c r="L6" s="102" t="n">
        <v>66</v>
      </c>
      <c r="M6" s="102" t="n">
        <v>55</v>
      </c>
      <c r="N6" s="102" t="n">
        <v>44</v>
      </c>
      <c r="O6" s="102" t="n">
        <v>77</v>
      </c>
      <c r="P6" s="102" t="n">
        <v>66</v>
      </c>
      <c r="Q6" s="102" t="n">
        <v>55</v>
      </c>
      <c r="R6" s="102" t="n">
        <v>44</v>
      </c>
      <c r="S6" s="102" t="n">
        <v>77</v>
      </c>
      <c r="T6" s="102" t="n">
        <v>66</v>
      </c>
      <c r="U6" s="102" t="n">
        <v>55</v>
      </c>
      <c r="V6" s="102" t="n">
        <v>44</v>
      </c>
      <c r="W6" s="102" t="n">
        <v>77</v>
      </c>
      <c r="X6" s="102" t="n">
        <v>66</v>
      </c>
      <c r="Y6" s="102" t="n">
        <v>55</v>
      </c>
      <c r="Z6" s="102" t="n">
        <v>44</v>
      </c>
      <c r="AA6" s="138" t="n"/>
      <c r="AB6" s="138" t="n"/>
    </row>
    <row customHeight="1" ht="30" r="7">
      <c r="A7" s="26" t="n"/>
      <c r="B7" s="50" t="inlineStr">
        <is>
          <t>Control model
控制模式</t>
        </is>
      </c>
      <c r="C7" s="36" t="n"/>
      <c r="D7" s="36" t="n"/>
      <c r="E7" s="36" t="n"/>
      <c r="F7" s="13" t="n"/>
      <c r="G7" s="103" t="inlineStr">
        <is>
          <t>Traction &amp; Torque主转扭矩</t>
        </is>
      </c>
      <c r="H7" s="103" t="inlineStr">
        <is>
          <t>Traction &amp; Torque主转扭矩</t>
        </is>
      </c>
      <c r="I7" s="103" t="inlineStr">
        <is>
          <t>Traction &amp; Torque主转扭矩</t>
        </is>
      </c>
      <c r="J7" s="103" t="inlineStr">
        <is>
          <t>Traction &amp; Torque主转扭矩</t>
        </is>
      </c>
      <c r="K7" s="103" t="inlineStr">
        <is>
          <t>Traction &amp; Torque主转扭矩</t>
        </is>
      </c>
      <c r="L7" s="103" t="inlineStr">
        <is>
          <t>Traction &amp; Torque主转扭矩</t>
        </is>
      </c>
      <c r="M7" s="103" t="inlineStr">
        <is>
          <t>Traction &amp; Torque主转扭矩</t>
        </is>
      </c>
      <c r="N7" s="103" t="inlineStr">
        <is>
          <t>Traction &amp; Torque主转扭矩</t>
        </is>
      </c>
      <c r="O7" s="103" t="inlineStr">
        <is>
          <t>Traction &amp; Torque主转扭矩</t>
        </is>
      </c>
      <c r="P7" s="103" t="inlineStr">
        <is>
          <t>Traction &amp; Torque主转扭矩</t>
        </is>
      </c>
      <c r="Q7" s="103" t="inlineStr">
        <is>
          <t>Traction &amp; Torque主转扭矩</t>
        </is>
      </c>
      <c r="R7" s="103" t="inlineStr">
        <is>
          <t>Traction &amp; Torque主转扭矩</t>
        </is>
      </c>
      <c r="S7" s="103" t="inlineStr">
        <is>
          <t>Traction &amp; Torque主转扭矩</t>
        </is>
      </c>
      <c r="T7" s="103" t="inlineStr">
        <is>
          <t>Traction &amp; Torque主转扭矩</t>
        </is>
      </c>
      <c r="U7" s="103" t="inlineStr">
        <is>
          <t>Traction &amp; Torque主转扭矩</t>
        </is>
      </c>
      <c r="V7" s="103" t="inlineStr">
        <is>
          <t>Traction &amp; Torque主转扭矩</t>
        </is>
      </c>
      <c r="W7" s="103" t="inlineStr">
        <is>
          <t>Traction &amp; Torque主转扭矩</t>
        </is>
      </c>
      <c r="X7" s="103" t="inlineStr">
        <is>
          <t>Traction &amp; Torque主转扭矩</t>
        </is>
      </c>
      <c r="Y7" s="103" t="inlineStr">
        <is>
          <t>Traction &amp; Torque主转扭矩</t>
        </is>
      </c>
      <c r="Z7" s="103" t="inlineStr">
        <is>
          <t>Traction &amp; Torque主转扭矩</t>
        </is>
      </c>
      <c r="AA7" s="138" t="n"/>
      <c r="AB7" s="138" t="n"/>
    </row>
    <row customHeight="1" ht="30" r="8">
      <c r="A8" s="26" t="n"/>
      <c r="B8" s="50" t="inlineStr">
        <is>
          <t>Rotating direction
运转方向</t>
        </is>
      </c>
      <c r="C8" s="36" t="n"/>
      <c r="D8" s="36" t="n"/>
      <c r="E8" s="36" t="n"/>
      <c r="F8" s="13" t="n"/>
      <c r="G8" s="104" t="inlineStr">
        <is>
          <t>Positive正转</t>
        </is>
      </c>
      <c r="H8" s="104" t="inlineStr">
        <is>
          <t>Positive正转</t>
        </is>
      </c>
      <c r="I8" s="104" t="inlineStr">
        <is>
          <t>Positive正转</t>
        </is>
      </c>
      <c r="J8" s="104" t="inlineStr">
        <is>
          <t>Positive正转</t>
        </is>
      </c>
      <c r="K8" s="104" t="inlineStr">
        <is>
          <t>Positive正转</t>
        </is>
      </c>
      <c r="L8" s="104" t="inlineStr">
        <is>
          <t>Positive正转</t>
        </is>
      </c>
      <c r="M8" s="104" t="inlineStr">
        <is>
          <t>Positive正转</t>
        </is>
      </c>
      <c r="N8" s="104" t="inlineStr">
        <is>
          <t>Positive正转</t>
        </is>
      </c>
      <c r="O8" s="104" t="inlineStr">
        <is>
          <t>Positive正转</t>
        </is>
      </c>
      <c r="P8" s="104" t="inlineStr">
        <is>
          <t>Positive正转</t>
        </is>
      </c>
      <c r="Q8" s="104" t="inlineStr">
        <is>
          <t>Positive正转</t>
        </is>
      </c>
      <c r="R8" s="104" t="inlineStr">
        <is>
          <t>Positive正转</t>
        </is>
      </c>
      <c r="S8" s="104" t="inlineStr">
        <is>
          <t>Positive正转</t>
        </is>
      </c>
      <c r="T8" s="104" t="inlineStr">
        <is>
          <t>Positive正转</t>
        </is>
      </c>
      <c r="U8" s="104" t="inlineStr">
        <is>
          <t>Positive正转</t>
        </is>
      </c>
      <c r="V8" s="104" t="inlineStr">
        <is>
          <t>Positive正转</t>
        </is>
      </c>
      <c r="W8" s="104" t="inlineStr">
        <is>
          <t>Positive正转</t>
        </is>
      </c>
      <c r="X8" s="104" t="inlineStr">
        <is>
          <t>Positive正转</t>
        </is>
      </c>
      <c r="Y8" s="104" t="inlineStr">
        <is>
          <t>Positive正转</t>
        </is>
      </c>
      <c r="Z8" s="104" t="inlineStr">
        <is>
          <t>Positive正转</t>
        </is>
      </c>
      <c r="AA8" s="138" t="n"/>
      <c r="AB8" s="138" t="n"/>
    </row>
    <row customHeight="1" ht="30" r="9">
      <c r="A9" s="26" t="n"/>
      <c r="B9" s="80" t="inlineStr">
        <is>
          <t>Winding Temperature Range
绕线温度范围</t>
        </is>
      </c>
      <c r="C9" s="24" t="n"/>
      <c r="D9" s="24" t="n"/>
      <c r="E9" s="25" t="n"/>
      <c r="F9" s="105" t="inlineStr">
        <is>
          <t>[°C]</t>
        </is>
      </c>
      <c r="G9" s="106" t="inlineStr">
        <is>
          <t>80 to 120</t>
        </is>
      </c>
      <c r="H9" s="106" t="inlineStr">
        <is>
          <t>80 to 120</t>
        </is>
      </c>
      <c r="I9" s="106" t="inlineStr">
        <is>
          <t>80 to 120</t>
        </is>
      </c>
      <c r="J9" s="106" t="inlineStr">
        <is>
          <t>80 to 120</t>
        </is>
      </c>
      <c r="K9" s="106" t="inlineStr">
        <is>
          <t>80 to 120</t>
        </is>
      </c>
      <c r="L9" s="106" t="inlineStr">
        <is>
          <t>80 to 120</t>
        </is>
      </c>
      <c r="M9" s="106" t="inlineStr">
        <is>
          <t>80 to 120</t>
        </is>
      </c>
      <c r="N9" s="106" t="inlineStr">
        <is>
          <t>80 to 120</t>
        </is>
      </c>
      <c r="O9" s="106" t="inlineStr">
        <is>
          <t>80 to 120</t>
        </is>
      </c>
      <c r="P9" s="106" t="inlineStr">
        <is>
          <t>80 to 120</t>
        </is>
      </c>
      <c r="Q9" s="106" t="inlineStr">
        <is>
          <t>80 to 120</t>
        </is>
      </c>
      <c r="R9" s="106" t="inlineStr">
        <is>
          <t>80 to 120</t>
        </is>
      </c>
      <c r="S9" s="106" t="inlineStr">
        <is>
          <t>80 to 120</t>
        </is>
      </c>
      <c r="T9" s="106" t="inlineStr">
        <is>
          <t>80 to 120</t>
        </is>
      </c>
      <c r="U9" s="106" t="inlineStr">
        <is>
          <t>80 to 120</t>
        </is>
      </c>
      <c r="V9" s="106" t="inlineStr">
        <is>
          <t>80 to 120</t>
        </is>
      </c>
      <c r="W9" s="106" t="inlineStr">
        <is>
          <t>80 to 120</t>
        </is>
      </c>
      <c r="X9" s="106" t="inlineStr">
        <is>
          <t>80 to 120</t>
        </is>
      </c>
      <c r="Y9" s="106" t="inlineStr">
        <is>
          <t>80 to 120</t>
        </is>
      </c>
      <c r="Z9" s="106" t="inlineStr">
        <is>
          <t>80 to 120</t>
        </is>
      </c>
      <c r="AA9" s="138" t="n"/>
      <c r="AB9" s="138" t="n"/>
    </row>
    <row customHeight="1" ht="8.1" r="10">
      <c r="A10" s="81" t="n"/>
      <c r="B10" s="82" t="n"/>
      <c r="C10" s="82" t="n"/>
      <c r="D10" s="82" t="n"/>
      <c r="E10" s="82" t="n"/>
      <c r="F10" s="82" t="n"/>
      <c r="G10" s="82" t="n"/>
      <c r="H10" s="82" t="n"/>
      <c r="I10" s="82" t="n"/>
      <c r="J10" s="82" t="n"/>
      <c r="K10" s="82" t="n"/>
      <c r="L10" s="82" t="n"/>
      <c r="M10" s="82" t="n"/>
      <c r="N10" s="82" t="n"/>
      <c r="O10" s="82" t="n"/>
      <c r="P10" s="82" t="n"/>
      <c r="Q10" s="82" t="n"/>
      <c r="R10" s="82" t="n"/>
      <c r="S10" s="82" t="n"/>
      <c r="T10" s="82" t="n"/>
      <c r="U10" s="82" t="n"/>
      <c r="V10" s="82" t="n"/>
      <c r="W10" s="82" t="n"/>
      <c r="X10" s="82" t="n"/>
      <c r="Y10" s="82" t="n"/>
      <c r="Z10" s="139" t="n"/>
      <c r="AA10" s="138" t="n"/>
      <c r="AB10" s="138" t="n"/>
    </row>
    <row customHeight="1" ht="30" r="11">
      <c r="A11" s="83" t="inlineStr">
        <is>
          <t>Cooling System
冷却系统</t>
        </is>
      </c>
      <c r="B11" s="84" t="inlineStr">
        <is>
          <t>Ambient Room Temperature 
测试环境温度</t>
        </is>
      </c>
      <c r="C11" s="28" t="n"/>
      <c r="D11" s="28" t="n"/>
      <c r="E11" s="29" t="n"/>
      <c r="F11" s="78" t="inlineStr">
        <is>
          <t>[°C]</t>
        </is>
      </c>
      <c r="G11" s="662" t="n">
        <v>20</v>
      </c>
      <c r="H11" s="662" t="n">
        <v>20</v>
      </c>
      <c r="I11" s="662" t="n">
        <v>20</v>
      </c>
      <c r="J11" s="662" t="n">
        <v>20</v>
      </c>
      <c r="K11" s="662" t="n">
        <v>20</v>
      </c>
      <c r="L11" s="662" t="n">
        <v>20</v>
      </c>
      <c r="M11" s="662" t="n">
        <v>20</v>
      </c>
      <c r="N11" s="662" t="n">
        <v>20</v>
      </c>
      <c r="O11" s="662" t="n">
        <v>20</v>
      </c>
      <c r="P11" s="662" t="n">
        <v>20</v>
      </c>
      <c r="Q11" s="662" t="n">
        <v>20</v>
      </c>
      <c r="R11" s="662" t="n">
        <v>20</v>
      </c>
      <c r="S11" s="662" t="n">
        <v>20</v>
      </c>
      <c r="T11" s="662" t="n">
        <v>20</v>
      </c>
      <c r="U11" s="662" t="n">
        <v>20</v>
      </c>
      <c r="V11" s="662" t="n">
        <v>20</v>
      </c>
      <c r="W11" s="662" t="n">
        <v>20</v>
      </c>
      <c r="X11" s="662" t="n">
        <v>20</v>
      </c>
      <c r="Y11" s="662" t="n">
        <v>20</v>
      </c>
      <c r="Z11" s="662" t="n">
        <v>20</v>
      </c>
      <c r="AA11" s="138" t="n"/>
      <c r="AB11" s="138" t="n"/>
    </row>
    <row customHeight="1" ht="30" r="12">
      <c r="A12" s="26" t="n"/>
      <c r="B12" s="50" t="inlineStr">
        <is>
          <t>DUT Flow Rate [LPM]
被测电机流量</t>
        </is>
      </c>
      <c r="C12" s="36" t="n"/>
      <c r="D12" s="36" t="n"/>
      <c r="E12" s="13" t="n"/>
      <c r="F12" s="108" t="inlineStr">
        <is>
          <t>[Kpa]</t>
        </is>
      </c>
      <c r="G12" s="654" t="n">
        <v>8</v>
      </c>
      <c r="H12" s="654" t="n">
        <v>8</v>
      </c>
      <c r="I12" s="654" t="n">
        <v>8</v>
      </c>
      <c r="J12" s="654" t="n">
        <v>8</v>
      </c>
      <c r="K12" s="654" t="n">
        <v>8</v>
      </c>
      <c r="L12" s="654" t="n">
        <v>8</v>
      </c>
      <c r="M12" s="654" t="n">
        <v>8</v>
      </c>
      <c r="N12" s="654" t="n">
        <v>8</v>
      </c>
      <c r="O12" s="654" t="n">
        <v>8</v>
      </c>
      <c r="P12" s="654" t="n">
        <v>8</v>
      </c>
      <c r="Q12" s="654" t="n">
        <v>8</v>
      </c>
      <c r="R12" s="654" t="n">
        <v>8</v>
      </c>
      <c r="S12" s="654" t="n">
        <v>8</v>
      </c>
      <c r="T12" s="654" t="n">
        <v>8</v>
      </c>
      <c r="U12" s="654" t="n">
        <v>8</v>
      </c>
      <c r="V12" s="654" t="n">
        <v>8</v>
      </c>
      <c r="W12" s="654" t="n">
        <v>8</v>
      </c>
      <c r="X12" s="654" t="n">
        <v>8</v>
      </c>
      <c r="Y12" s="654" t="n">
        <v>8</v>
      </c>
      <c r="Z12" s="654" t="n">
        <v>8</v>
      </c>
      <c r="AA12" s="138" t="n"/>
      <c r="AB12" s="138" t="n"/>
    </row>
    <row customHeight="1" ht="30" r="13">
      <c r="A13" s="26" t="n"/>
      <c r="B13" s="50" t="inlineStr">
        <is>
          <t>DUT Coolant Pressure 
被测电机冷却介质压力</t>
        </is>
      </c>
      <c r="C13" s="36" t="n"/>
      <c r="D13" s="36" t="n"/>
      <c r="E13" s="13" t="n"/>
      <c r="F13" s="110" t="inlineStr">
        <is>
          <t>[Kpa]</t>
        </is>
      </c>
      <c r="G13" s="654" t="inlineStr">
        <is>
          <t>&lt;100</t>
        </is>
      </c>
      <c r="H13" s="654" t="inlineStr">
        <is>
          <t>&lt;100</t>
        </is>
      </c>
      <c r="I13" s="654" t="inlineStr">
        <is>
          <t>&lt;100</t>
        </is>
      </c>
      <c r="J13" s="654" t="inlineStr">
        <is>
          <t>&lt;100</t>
        </is>
      </c>
      <c r="K13" s="654" t="inlineStr">
        <is>
          <t>&lt;100</t>
        </is>
      </c>
      <c r="L13" s="654" t="inlineStr">
        <is>
          <t>&lt;100</t>
        </is>
      </c>
      <c r="M13" s="654" t="inlineStr">
        <is>
          <t>&lt;100</t>
        </is>
      </c>
      <c r="N13" s="654" t="inlineStr">
        <is>
          <t>&lt;100</t>
        </is>
      </c>
      <c r="O13" s="654" t="inlineStr">
        <is>
          <t>&lt;100</t>
        </is>
      </c>
      <c r="P13" s="654" t="inlineStr">
        <is>
          <t>&lt;100</t>
        </is>
      </c>
      <c r="Q13" s="654" t="inlineStr">
        <is>
          <t>&lt;100</t>
        </is>
      </c>
      <c r="R13" s="654" t="inlineStr">
        <is>
          <t>&lt;100</t>
        </is>
      </c>
      <c r="S13" s="654" t="inlineStr">
        <is>
          <t>&lt;100</t>
        </is>
      </c>
      <c r="T13" s="654" t="inlineStr">
        <is>
          <t>&lt;100</t>
        </is>
      </c>
      <c r="U13" s="654" t="inlineStr">
        <is>
          <t>&lt;100</t>
        </is>
      </c>
      <c r="V13" s="654" t="inlineStr">
        <is>
          <t>&lt;100</t>
        </is>
      </c>
      <c r="W13" s="654" t="inlineStr">
        <is>
          <t>&lt;100</t>
        </is>
      </c>
      <c r="X13" s="654" t="inlineStr">
        <is>
          <t>&lt;100</t>
        </is>
      </c>
      <c r="Y13" s="654" t="inlineStr">
        <is>
          <t>&lt;100</t>
        </is>
      </c>
      <c r="Z13" s="654" t="inlineStr">
        <is>
          <t>&lt;100</t>
        </is>
      </c>
      <c r="AA13" s="138" t="n"/>
      <c r="AB13" s="138" t="n"/>
    </row>
    <row customHeight="1" ht="30" r="14">
      <c r="A14" s="26" t="n"/>
      <c r="B14" s="50" t="inlineStr">
        <is>
          <t>DUT Coolant Inlet Temperature 
被测电机输入的冷却介质温度</t>
        </is>
      </c>
      <c r="C14" s="36" t="n"/>
      <c r="D14" s="36" t="n"/>
      <c r="E14" s="13" t="n"/>
      <c r="F14" s="108" t="inlineStr">
        <is>
          <t>[°C]</t>
        </is>
      </c>
      <c r="G14" s="654" t="n">
        <v>45</v>
      </c>
      <c r="H14" s="654" t="n">
        <v>45</v>
      </c>
      <c r="I14" s="654" t="n">
        <v>45</v>
      </c>
      <c r="J14" s="654" t="n">
        <v>45</v>
      </c>
      <c r="K14" s="654" t="n">
        <v>45</v>
      </c>
      <c r="L14" s="654" t="n">
        <v>45</v>
      </c>
      <c r="M14" s="654" t="n">
        <v>45</v>
      </c>
      <c r="N14" s="654" t="n">
        <v>45</v>
      </c>
      <c r="O14" s="654" t="n">
        <v>45</v>
      </c>
      <c r="P14" s="654" t="n">
        <v>45</v>
      </c>
      <c r="Q14" s="654" t="n">
        <v>45</v>
      </c>
      <c r="R14" s="654" t="n">
        <v>45</v>
      </c>
      <c r="S14" s="654" t="n">
        <v>45</v>
      </c>
      <c r="T14" s="654" t="n">
        <v>45</v>
      </c>
      <c r="U14" s="654" t="n">
        <v>45</v>
      </c>
      <c r="V14" s="654" t="n">
        <v>45</v>
      </c>
      <c r="W14" s="654" t="n">
        <v>45</v>
      </c>
      <c r="X14" s="654" t="n">
        <v>45</v>
      </c>
      <c r="Y14" s="654" t="n">
        <v>45</v>
      </c>
      <c r="Z14" s="654" t="n">
        <v>45</v>
      </c>
      <c r="AA14" s="138" t="n"/>
      <c r="AB14" s="138" t="n"/>
    </row>
    <row customHeight="1" ht="30" r="15">
      <c r="A15" s="26" t="n"/>
      <c r="B15" s="50" t="inlineStr">
        <is>
          <t>MCU Flow Rate 
负载电机流量</t>
        </is>
      </c>
      <c r="C15" s="36" t="n"/>
      <c r="D15" s="36" t="n"/>
      <c r="E15" s="13" t="n"/>
      <c r="F15" s="108" t="inlineStr">
        <is>
          <t>[LPM]</t>
        </is>
      </c>
      <c r="G15" s="654" t="n">
        <v>8</v>
      </c>
      <c r="H15" s="654" t="n">
        <v>8</v>
      </c>
      <c r="I15" s="654" t="n">
        <v>8</v>
      </c>
      <c r="J15" s="654" t="n">
        <v>8</v>
      </c>
      <c r="K15" s="654" t="n">
        <v>8</v>
      </c>
      <c r="L15" s="654" t="n">
        <v>8</v>
      </c>
      <c r="M15" s="654" t="n">
        <v>8</v>
      </c>
      <c r="N15" s="654" t="n">
        <v>8</v>
      </c>
      <c r="O15" s="654" t="n">
        <v>8</v>
      </c>
      <c r="P15" s="654" t="n">
        <v>8</v>
      </c>
      <c r="Q15" s="654" t="n">
        <v>8</v>
      </c>
      <c r="R15" s="654" t="n">
        <v>8</v>
      </c>
      <c r="S15" s="654" t="n">
        <v>8</v>
      </c>
      <c r="T15" s="654" t="n">
        <v>8</v>
      </c>
      <c r="U15" s="654" t="n">
        <v>8</v>
      </c>
      <c r="V15" s="654" t="n">
        <v>8</v>
      </c>
      <c r="W15" s="654" t="n">
        <v>8</v>
      </c>
      <c r="X15" s="654" t="n">
        <v>8</v>
      </c>
      <c r="Y15" s="654" t="n">
        <v>8</v>
      </c>
      <c r="Z15" s="654" t="n">
        <v>8</v>
      </c>
      <c r="AA15" s="138" t="n"/>
      <c r="AB15" s="138" t="n"/>
    </row>
    <row customHeight="1" ht="30" r="16">
      <c r="A16" s="26" t="n"/>
      <c r="B16" s="50" t="inlineStr">
        <is>
          <t>MCU Coolant Inlet Temperature 
负载电机输入的冷却介质温度</t>
        </is>
      </c>
      <c r="C16" s="36" t="n"/>
      <c r="D16" s="36" t="n"/>
      <c r="E16" s="13" t="n"/>
      <c r="F16" s="108" t="inlineStr">
        <is>
          <t>[°C]</t>
        </is>
      </c>
      <c r="G16" s="654" t="n">
        <v>20</v>
      </c>
      <c r="H16" s="654" t="n">
        <v>20</v>
      </c>
      <c r="I16" s="654" t="n">
        <v>20</v>
      </c>
      <c r="J16" s="654" t="n">
        <v>20</v>
      </c>
      <c r="K16" s="654" t="n">
        <v>20</v>
      </c>
      <c r="L16" s="654" t="n">
        <v>20</v>
      </c>
      <c r="M16" s="654" t="n">
        <v>20</v>
      </c>
      <c r="N16" s="654" t="n">
        <v>20</v>
      </c>
      <c r="O16" s="654" t="n">
        <v>20</v>
      </c>
      <c r="P16" s="654" t="n">
        <v>20</v>
      </c>
      <c r="Q16" s="654" t="n">
        <v>20</v>
      </c>
      <c r="R16" s="654" t="n">
        <v>20</v>
      </c>
      <c r="S16" s="654" t="n">
        <v>20</v>
      </c>
      <c r="T16" s="654" t="n">
        <v>20</v>
      </c>
      <c r="U16" s="654" t="n">
        <v>20</v>
      </c>
      <c r="V16" s="654" t="n">
        <v>20</v>
      </c>
      <c r="W16" s="654" t="n">
        <v>20</v>
      </c>
      <c r="X16" s="654" t="n">
        <v>20</v>
      </c>
      <c r="Y16" s="654" t="n">
        <v>20</v>
      </c>
      <c r="Z16" s="654" t="n">
        <v>20</v>
      </c>
      <c r="AA16" s="138" t="n"/>
      <c r="AB16" s="138" t="n"/>
    </row>
    <row customHeight="1" ht="30" r="17">
      <c r="A17" s="26" t="n"/>
      <c r="B17" s="50" t="inlineStr">
        <is>
          <t>Real Ambient Room Temperature 
实际测试环境温度</t>
        </is>
      </c>
      <c r="C17" s="36" t="n"/>
      <c r="D17" s="36" t="n"/>
      <c r="E17" s="13" t="n"/>
      <c r="F17" s="108" t="inlineStr">
        <is>
          <t>[°C]</t>
        </is>
      </c>
      <c r="G17" s="663" t="n">
        <v>21.7</v>
      </c>
      <c r="H17" s="663" t="n">
        <v>21.7</v>
      </c>
      <c r="I17" s="663" t="n">
        <v>21.7</v>
      </c>
      <c r="J17" s="663" t="n">
        <v>21.7</v>
      </c>
      <c r="K17" s="663" t="n">
        <v>21.7</v>
      </c>
      <c r="L17" s="663" t="n">
        <v>21.7</v>
      </c>
      <c r="M17" s="663" t="n">
        <v>21.7</v>
      </c>
      <c r="N17" s="663" t="n">
        <v>21.7</v>
      </c>
      <c r="O17" s="663" t="n">
        <v>21.7</v>
      </c>
      <c r="P17" s="663" t="n">
        <v>21.7</v>
      </c>
      <c r="Q17" s="663" t="n">
        <v>21.7</v>
      </c>
      <c r="R17" s="663" t="n">
        <v>21.7</v>
      </c>
      <c r="S17" s="663" t="n">
        <v>21.7</v>
      </c>
      <c r="T17" s="663" t="n">
        <v>21.7</v>
      </c>
      <c r="U17" s="663" t="n">
        <v>21.7</v>
      </c>
      <c r="V17" s="663" t="n">
        <v>21.7</v>
      </c>
      <c r="W17" s="663" t="n">
        <v>21.7</v>
      </c>
      <c r="X17" s="663" t="n">
        <v>21.7</v>
      </c>
      <c r="Y17" s="663" t="n">
        <v>21.7</v>
      </c>
      <c r="Z17" s="663" t="n">
        <v>21.7</v>
      </c>
      <c r="AA17" s="138" t="n"/>
      <c r="AB17" s="138" t="n"/>
    </row>
    <row customHeight="1" ht="30" r="18">
      <c r="A18" s="26" t="n"/>
      <c r="B18" s="50" t="inlineStr">
        <is>
          <t>Real DUT Flow Rate 
实际被测电机流量</t>
        </is>
      </c>
      <c r="C18" s="36" t="n"/>
      <c r="D18" s="36" t="n"/>
      <c r="E18" s="13" t="n"/>
      <c r="F18" s="108" t="inlineStr">
        <is>
          <t>[LPM]</t>
        </is>
      </c>
      <c r="G18" s="663" t="n">
        <v>8</v>
      </c>
      <c r="H18" s="663" t="n">
        <v>8</v>
      </c>
      <c r="I18" s="663" t="n">
        <v>8</v>
      </c>
      <c r="J18" s="663" t="n">
        <v>8</v>
      </c>
      <c r="K18" s="663" t="n">
        <v>8</v>
      </c>
      <c r="L18" s="663" t="n">
        <v>8</v>
      </c>
      <c r="M18" s="663" t="n">
        <v>8</v>
      </c>
      <c r="N18" s="663" t="n">
        <v>8</v>
      </c>
      <c r="O18" s="663" t="n">
        <v>8</v>
      </c>
      <c r="P18" s="663" t="n">
        <v>8</v>
      </c>
      <c r="Q18" s="663" t="n">
        <v>8</v>
      </c>
      <c r="R18" s="663" t="n">
        <v>8</v>
      </c>
      <c r="S18" s="663" t="n">
        <v>8</v>
      </c>
      <c r="T18" s="663" t="n">
        <v>8</v>
      </c>
      <c r="U18" s="663" t="n">
        <v>8</v>
      </c>
      <c r="V18" s="663" t="n">
        <v>8</v>
      </c>
      <c r="W18" s="663" t="n">
        <v>8</v>
      </c>
      <c r="X18" s="663" t="n">
        <v>8</v>
      </c>
      <c r="Y18" s="663" t="n">
        <v>8</v>
      </c>
      <c r="Z18" s="663" t="n">
        <v>8</v>
      </c>
      <c r="AA18" s="138" t="n"/>
      <c r="AB18" s="138" t="n"/>
    </row>
    <row customHeight="1" ht="30" r="19">
      <c r="A19" s="26" t="n"/>
      <c r="B19" s="80" t="inlineStr">
        <is>
          <t>Real DUT Coolant Inlet Temperature 
实际被测电机输入冷却介质温度</t>
        </is>
      </c>
      <c r="C19" s="24" t="n"/>
      <c r="D19" s="24" t="n"/>
      <c r="E19" s="25" t="n"/>
      <c r="F19" s="112" t="inlineStr">
        <is>
          <t>[°C]</t>
        </is>
      </c>
      <c r="G19" s="664" t="n">
        <v>45</v>
      </c>
      <c r="H19" s="664" t="n">
        <v>45</v>
      </c>
      <c r="I19" s="664" t="n">
        <v>45</v>
      </c>
      <c r="J19" s="664" t="n">
        <v>45</v>
      </c>
      <c r="K19" s="664" t="n">
        <v>45</v>
      </c>
      <c r="L19" s="664" t="n">
        <v>45</v>
      </c>
      <c r="M19" s="664" t="n">
        <v>45</v>
      </c>
      <c r="N19" s="664" t="n">
        <v>45</v>
      </c>
      <c r="O19" s="664" t="n">
        <v>45</v>
      </c>
      <c r="P19" s="664" t="n">
        <v>45</v>
      </c>
      <c r="Q19" s="664" t="n">
        <v>45</v>
      </c>
      <c r="R19" s="664" t="n">
        <v>45</v>
      </c>
      <c r="S19" s="664" t="n">
        <v>45</v>
      </c>
      <c r="T19" s="664" t="n">
        <v>45</v>
      </c>
      <c r="U19" s="664" t="n">
        <v>45</v>
      </c>
      <c r="V19" s="664" t="n">
        <v>45</v>
      </c>
      <c r="W19" s="664" t="n">
        <v>45</v>
      </c>
      <c r="X19" s="664" t="n">
        <v>45</v>
      </c>
      <c r="Y19" s="664" t="n">
        <v>45</v>
      </c>
      <c r="Z19" s="664" t="n">
        <v>45</v>
      </c>
      <c r="AA19" s="138" t="n"/>
      <c r="AB19" s="138" t="n"/>
    </row>
    <row customHeight="1" ht="8.1" r="20">
      <c r="A20" s="85" t="n"/>
      <c r="B20" s="82" t="n"/>
      <c r="C20" s="82" t="n"/>
      <c r="D20" s="82" t="n"/>
      <c r="E20" s="82" t="n"/>
      <c r="F20" s="82" t="n"/>
      <c r="G20" s="82" t="n"/>
      <c r="H20" s="82" t="n"/>
      <c r="I20" s="82" t="n"/>
      <c r="J20" s="82" t="n"/>
      <c r="K20" s="82" t="n"/>
      <c r="L20" s="82" t="n"/>
      <c r="M20" s="82" t="n"/>
      <c r="N20" s="82" t="n"/>
      <c r="O20" s="82" t="n"/>
      <c r="P20" s="82" t="n"/>
      <c r="Q20" s="82" t="n"/>
      <c r="R20" s="82" t="n"/>
      <c r="S20" s="82" t="n"/>
      <c r="T20" s="82" t="n"/>
      <c r="U20" s="82" t="n"/>
      <c r="V20" s="82" t="n"/>
      <c r="W20" s="82" t="n"/>
      <c r="X20" s="82" t="n"/>
      <c r="Y20" s="82" t="n"/>
      <c r="Z20" s="139" t="n"/>
      <c r="AA20" s="138" t="n"/>
      <c r="AB20" s="138" t="n"/>
    </row>
    <row customHeight="1" ht="30" r="21">
      <c r="A21" s="86" t="inlineStr">
        <is>
          <t>Torque &amp; Speed
扭矩和速度</t>
        </is>
      </c>
      <c r="B21" s="87" t="inlineStr">
        <is>
          <t>Back EMF before test @1000 rpm
测试前1000转时的反电动势</t>
        </is>
      </c>
      <c r="C21" s="88" t="n"/>
      <c r="D21" s="88" t="n"/>
      <c r="E21" s="88" t="n"/>
      <c r="F21" s="114" t="inlineStr">
        <is>
          <t>[Vrms phph]</t>
        </is>
      </c>
      <c r="G21" s="665" t="n"/>
      <c r="H21" s="88" t="n"/>
      <c r="I21" s="88" t="n"/>
      <c r="J21" s="88" t="n"/>
      <c r="K21" s="88" t="n"/>
      <c r="L21" s="88" t="n"/>
      <c r="M21" s="88" t="n"/>
      <c r="N21" s="88" t="n"/>
      <c r="O21" s="88" t="n"/>
      <c r="P21" s="88" t="n"/>
      <c r="Q21" s="88" t="n"/>
      <c r="R21" s="88" t="n"/>
      <c r="S21" s="88" t="n"/>
      <c r="T21" s="88" t="n"/>
      <c r="U21" s="88" t="n"/>
      <c r="V21" s="88" t="n"/>
      <c r="W21" s="88" t="n"/>
      <c r="X21" s="88" t="n"/>
      <c r="Y21" s="88" t="n"/>
      <c r="Z21" s="140" t="n"/>
      <c r="AA21" s="138" t="n"/>
      <c r="AB21" s="138" t="n"/>
    </row>
    <row customHeight="1" ht="30" r="22">
      <c r="A22" s="26" t="n"/>
      <c r="B22" s="58" t="inlineStr">
        <is>
          <t>Temperature for pre-back EMF test</t>
        </is>
      </c>
      <c r="C22" s="36" t="n"/>
      <c r="D22" s="36" t="n"/>
      <c r="E22" s="13" t="n"/>
      <c r="F22" s="116" t="inlineStr">
        <is>
          <t>[°C]</t>
        </is>
      </c>
      <c r="G22" s="655" t="n"/>
      <c r="H22" s="36" t="n"/>
      <c r="I22" s="36" t="n"/>
      <c r="J22" s="36" t="n"/>
      <c r="K22" s="36" t="n"/>
      <c r="L22" s="36" t="n"/>
      <c r="M22" s="36" t="n"/>
      <c r="N22" s="36" t="n"/>
      <c r="O22" s="36" t="n"/>
      <c r="P22" s="36" t="n"/>
      <c r="Q22" s="36" t="n"/>
      <c r="R22" s="36" t="n"/>
      <c r="S22" s="36" t="n"/>
      <c r="T22" s="36" t="n"/>
      <c r="U22" s="36" t="n"/>
      <c r="V22" s="36" t="n"/>
      <c r="W22" s="36" t="n"/>
      <c r="X22" s="36" t="n"/>
      <c r="Y22" s="36" t="n"/>
      <c r="Z22" s="13" t="n"/>
      <c r="AA22" s="138" t="n"/>
      <c r="AB22" s="138" t="n"/>
    </row>
    <row customHeight="1" ht="30" r="23">
      <c r="A23" s="26" t="n"/>
      <c r="B23" s="50" t="inlineStr">
        <is>
          <t>Winding Temp. @Measuring 
绕线温度测量值</t>
        </is>
      </c>
      <c r="C23" s="36" t="n"/>
      <c r="D23" s="36" t="n"/>
      <c r="E23" s="13" t="n"/>
      <c r="F23" s="116" t="inlineStr">
        <is>
          <t>[°C]</t>
        </is>
      </c>
      <c r="G23" s="63" t="n"/>
      <c r="H23" s="63" t="n"/>
      <c r="I23" s="63" t="n"/>
      <c r="J23" s="63" t="n"/>
      <c r="K23" s="63" t="n"/>
      <c r="L23" s="63" t="n"/>
      <c r="M23" s="63" t="n"/>
      <c r="N23" s="63" t="n"/>
      <c r="O23" s="63" t="n"/>
      <c r="P23" s="63" t="n"/>
      <c r="Q23" s="63" t="n"/>
      <c r="R23" s="63" t="n"/>
      <c r="S23" s="63" t="n"/>
      <c r="T23" s="63" t="n"/>
      <c r="U23" s="63" t="n"/>
      <c r="V23" s="63" t="n"/>
      <c r="W23" s="63" t="n"/>
      <c r="X23" s="63" t="n"/>
      <c r="Y23" s="63" t="n"/>
      <c r="Z23" s="63" t="n"/>
      <c r="AA23" s="138" t="n"/>
      <c r="AB23" s="138" t="n"/>
    </row>
    <row customHeight="1" ht="30" r="24">
      <c r="A24" s="26" t="n"/>
      <c r="B24" s="50" t="inlineStr">
        <is>
          <t>Real speed
实际速度</t>
        </is>
      </c>
      <c r="C24" s="36" t="n"/>
      <c r="D24" s="36" t="n"/>
      <c r="E24" s="13" t="n"/>
      <c r="F24" s="116" t="inlineStr">
        <is>
          <t>[rpm]</t>
        </is>
      </c>
      <c r="G24" s="118" t="n">
        <v>6500</v>
      </c>
      <c r="H24" s="118" t="n">
        <v>6500</v>
      </c>
      <c r="I24" s="118" t="n">
        <v>6500</v>
      </c>
      <c r="J24" s="118" t="n">
        <v>6500</v>
      </c>
      <c r="K24" s="118" t="n">
        <v>7000</v>
      </c>
      <c r="L24" s="118" t="n">
        <v>7000</v>
      </c>
      <c r="M24" s="118" t="n">
        <v>7000</v>
      </c>
      <c r="N24" s="118" t="n">
        <v>7000</v>
      </c>
      <c r="O24" s="118" t="n">
        <v>7500</v>
      </c>
      <c r="P24" s="118" t="n">
        <v>7500</v>
      </c>
      <c r="Q24" s="118" t="n">
        <v>7500</v>
      </c>
      <c r="R24" s="118" t="n">
        <v>7500</v>
      </c>
      <c r="S24" s="118" t="n">
        <v>8000</v>
      </c>
      <c r="T24" s="118" t="n">
        <v>8000</v>
      </c>
      <c r="U24" s="118" t="n">
        <v>8000</v>
      </c>
      <c r="V24" s="118" t="n">
        <v>8000</v>
      </c>
      <c r="W24" s="118" t="n">
        <v>8500</v>
      </c>
      <c r="X24" s="118" t="n">
        <v>8500</v>
      </c>
      <c r="Y24" s="118" t="n">
        <v>8500</v>
      </c>
      <c r="Z24" s="118" t="n">
        <v>8500</v>
      </c>
      <c r="AA24" s="138" t="n"/>
      <c r="AB24" s="138" t="n"/>
    </row>
    <row customHeight="1" ht="30" r="25">
      <c r="A25" s="26" t="n"/>
      <c r="B25" s="50" t="inlineStr">
        <is>
          <t>Frequency 
频率</t>
        </is>
      </c>
      <c r="C25" s="36" t="n"/>
      <c r="D25" s="36" t="n"/>
      <c r="E25" s="13" t="n"/>
      <c r="F25" s="116" t="inlineStr">
        <is>
          <t>[Hz]</t>
        </is>
      </c>
      <c r="G25" s="119">
        <f>G24/60*'DUT Description'!$D$8/2</f>
        <v/>
      </c>
      <c r="H25" s="119">
        <f>H24/60*'DUT Description'!$D$8/2</f>
        <v/>
      </c>
      <c r="I25" s="119">
        <f>I24/60*'DUT Description'!$D$8/2</f>
        <v/>
      </c>
      <c r="J25" s="119">
        <f>J24/60*'DUT Description'!$D$8/2</f>
        <v/>
      </c>
      <c r="K25" s="119">
        <f>K24/60*'DUT Description'!$D$8/2</f>
        <v/>
      </c>
      <c r="L25" s="119">
        <f>L24/60*'DUT Description'!$D$8/2</f>
        <v/>
      </c>
      <c r="M25" s="119">
        <f>M24/60*'DUT Description'!$D$8/2</f>
        <v/>
      </c>
      <c r="N25" s="119">
        <f>N24/60*'DUT Description'!$D$8/2</f>
        <v/>
      </c>
      <c r="O25" s="119">
        <f>O24/60*'DUT Description'!$D$8/2</f>
        <v/>
      </c>
      <c r="P25" s="119">
        <f>P24/60*'DUT Description'!$D$8/2</f>
        <v/>
      </c>
      <c r="Q25" s="119">
        <f>Q24/60*'DUT Description'!$D$8/2</f>
        <v/>
      </c>
      <c r="R25" s="119">
        <f>R24/60*'DUT Description'!$D$8/2</f>
        <v/>
      </c>
      <c r="S25" s="119">
        <f>S24/60*'DUT Description'!$D$8/2</f>
        <v/>
      </c>
      <c r="T25" s="119">
        <f>T24/60*'DUT Description'!$D$8/2</f>
        <v/>
      </c>
      <c r="U25" s="119">
        <f>U24/60*'DUT Description'!$D$8/2</f>
        <v/>
      </c>
      <c r="V25" s="119">
        <f>V24/60*'DUT Description'!$D$8/2</f>
        <v/>
      </c>
      <c r="W25" s="119">
        <f>W24/60*'DUT Description'!$D$8/2</f>
        <v/>
      </c>
      <c r="X25" s="119">
        <f>X24/60*'DUT Description'!$D$8/2</f>
        <v/>
      </c>
      <c r="Y25" s="119">
        <f>Y24/60*'DUT Description'!$D$8/2</f>
        <v/>
      </c>
      <c r="Z25" s="119">
        <f>Z24/60*'DUT Description'!$D$8/2</f>
        <v/>
      </c>
      <c r="AA25" s="138" t="n"/>
      <c r="AB25" s="138" t="n"/>
    </row>
    <row customHeight="1" ht="30" r="26">
      <c r="A26" s="26" t="n"/>
      <c r="B26" s="50" t="inlineStr">
        <is>
          <t>Torque Command 
扭矩命令</t>
        </is>
      </c>
      <c r="C26" s="36" t="n"/>
      <c r="D26" s="36" t="n"/>
      <c r="E26" s="13" t="n"/>
      <c r="F26" s="116" t="inlineStr">
        <is>
          <t>[Nm]</t>
        </is>
      </c>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138" t="n"/>
      <c r="AB26" s="138" t="n"/>
    </row>
    <row customHeight="1" ht="30" r="27">
      <c r="A27" s="26" t="n"/>
      <c r="B27" s="50" t="inlineStr">
        <is>
          <t>Torque Measurement
扭矩测量值</t>
        </is>
      </c>
      <c r="C27" s="36" t="n"/>
      <c r="D27" s="36" t="n"/>
      <c r="E27" s="13" t="n"/>
      <c r="F27" s="116" t="inlineStr">
        <is>
          <t>[Nm]</t>
        </is>
      </c>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c r="AA27" s="138" t="n"/>
      <c r="AB27" s="138" t="n"/>
    </row>
    <row customHeight="1" ht="30" r="28">
      <c r="A28" s="26" t="n"/>
      <c r="B28" s="50" t="inlineStr">
        <is>
          <t>DUT Shaft output Power 
被测电机轴输出功率</t>
        </is>
      </c>
      <c r="C28" s="36" t="n"/>
      <c r="D28" s="36" t="n"/>
      <c r="E28" s="13" t="n"/>
      <c r="F28" s="116" t="inlineStr">
        <is>
          <t>[kW]</t>
        </is>
      </c>
      <c r="G28" s="656">
        <f>G24*G27*2*PI()/60/1000</f>
        <v/>
      </c>
      <c r="H28" s="656">
        <f>H24*H27*2*PI()/60/1000</f>
        <v/>
      </c>
      <c r="I28" s="656">
        <f>I24*I27*2*PI()/60/1000</f>
        <v/>
      </c>
      <c r="J28" s="656">
        <f>J24*J27*2*PI()/60/1000</f>
        <v/>
      </c>
      <c r="K28" s="656">
        <f>K24*K27*2*PI()/60/1000</f>
        <v/>
      </c>
      <c r="L28" s="656">
        <f>L24*L27*2*PI()/60/1000</f>
        <v/>
      </c>
      <c r="M28" s="656">
        <f>M24*M27*2*PI()/60/1000</f>
        <v/>
      </c>
      <c r="N28" s="656">
        <f>N24*N27*2*PI()/60/1000</f>
        <v/>
      </c>
      <c r="O28" s="656">
        <f>O24*O27*2*PI()/60/1000</f>
        <v/>
      </c>
      <c r="P28" s="656">
        <f>P24*P27*2*PI()/60/1000</f>
        <v/>
      </c>
      <c r="Q28" s="656">
        <f>Q24*Q27*2*PI()/60/1000</f>
        <v/>
      </c>
      <c r="R28" s="656">
        <f>R24*R27*2*PI()/60/1000</f>
        <v/>
      </c>
      <c r="S28" s="656">
        <f>S24*S27*2*PI()/60/1000</f>
        <v/>
      </c>
      <c r="T28" s="656">
        <f>T24*T27*2*PI()/60/1000</f>
        <v/>
      </c>
      <c r="U28" s="656">
        <f>U24*U27*2*PI()/60/1000</f>
        <v/>
      </c>
      <c r="V28" s="656">
        <f>V24*V27*2*PI()/60/1000</f>
        <v/>
      </c>
      <c r="W28" s="656">
        <f>W24*W27*2*PI()/60/1000</f>
        <v/>
      </c>
      <c r="X28" s="656">
        <f>X24*X27*2*PI()/60/1000</f>
        <v/>
      </c>
      <c r="Y28" s="656">
        <f>Y24*Y27*2*PI()/60/1000</f>
        <v/>
      </c>
      <c r="Z28" s="656">
        <f>Z24*Z27*2*PI()/60/1000</f>
        <v/>
      </c>
      <c r="AA28" s="138" t="n"/>
      <c r="AB28" s="138" t="n"/>
    </row>
    <row customHeight="1" ht="30" r="29">
      <c r="A29" s="26" t="n"/>
      <c r="B29" s="89" t="inlineStr">
        <is>
          <t>Back EMF after test @1000 rpm  (quick!) 
测试后1000转时的反电动势（速度快快快）</t>
        </is>
      </c>
      <c r="C29" s="36" t="n"/>
      <c r="D29" s="36" t="n"/>
      <c r="E29" s="13" t="n"/>
      <c r="F29" s="121" t="inlineStr">
        <is>
          <t>[Vrms phph]</t>
        </is>
      </c>
      <c r="G29" s="64" t="n"/>
      <c r="H29" s="36" t="n"/>
      <c r="I29" s="36" t="n"/>
      <c r="J29" s="36" t="n"/>
      <c r="K29" s="36" t="n"/>
      <c r="L29" s="36" t="n"/>
      <c r="M29" s="36" t="n"/>
      <c r="N29" s="36" t="n"/>
      <c r="O29" s="36" t="n"/>
      <c r="P29" s="36" t="n"/>
      <c r="Q29" s="36" t="n"/>
      <c r="R29" s="36" t="n"/>
      <c r="S29" s="36" t="n"/>
      <c r="T29" s="36" t="n"/>
      <c r="U29" s="36" t="n"/>
      <c r="V29" s="36" t="n"/>
      <c r="W29" s="36" t="n"/>
      <c r="X29" s="36" t="n"/>
      <c r="Y29" s="36" t="n"/>
      <c r="Z29" s="13" t="n"/>
      <c r="AA29" s="138" t="n"/>
      <c r="AB29" s="138" t="n"/>
    </row>
    <row customHeight="1" ht="30" r="30">
      <c r="A30" s="30" t="n"/>
      <c r="B30" s="80" t="inlineStr">
        <is>
          <t>Temperature for pos-back EMF test</t>
        </is>
      </c>
      <c r="C30" s="24" t="n"/>
      <c r="D30" s="24" t="n"/>
      <c r="E30" s="25" t="n"/>
      <c r="F30" s="122" t="inlineStr">
        <is>
          <t>[°C]</t>
        </is>
      </c>
      <c r="G30" s="123" t="n"/>
      <c r="H30" s="96" t="n"/>
      <c r="I30" s="96" t="n"/>
      <c r="J30" s="96" t="n"/>
      <c r="K30" s="96" t="n"/>
      <c r="L30" s="96" t="n"/>
      <c r="M30" s="96" t="n"/>
      <c r="N30" s="96" t="n"/>
      <c r="O30" s="96" t="n"/>
      <c r="P30" s="96" t="n"/>
      <c r="Q30" s="96" t="n"/>
      <c r="R30" s="96" t="n"/>
      <c r="S30" s="96" t="n"/>
      <c r="T30" s="96" t="n"/>
      <c r="U30" s="96" t="n"/>
      <c r="V30" s="96" t="n"/>
      <c r="W30" s="96" t="n"/>
      <c r="X30" s="96" t="n"/>
      <c r="Y30" s="96" t="n"/>
      <c r="Z30" s="134" t="n"/>
      <c r="AA30" s="138" t="n"/>
      <c r="AB30" s="138" t="n"/>
    </row>
    <row customHeight="1" ht="21.75" r="31">
      <c r="A31" s="85" t="n"/>
      <c r="B31" s="82" t="n"/>
      <c r="C31" s="82" t="n"/>
      <c r="D31" s="82" t="n"/>
      <c r="E31" s="82" t="n"/>
      <c r="F31" s="82" t="n"/>
      <c r="G31" s="82" t="n"/>
      <c r="H31" s="82" t="n"/>
      <c r="I31" s="82" t="n"/>
      <c r="J31" s="82" t="n"/>
      <c r="K31" s="82" t="n"/>
      <c r="L31" s="82" t="n"/>
      <c r="M31" s="82" t="n"/>
      <c r="N31" s="82" t="n"/>
      <c r="O31" s="82" t="n"/>
      <c r="P31" s="82" t="n"/>
      <c r="Q31" s="82" t="n"/>
      <c r="R31" s="82" t="n"/>
      <c r="S31" s="82" t="n"/>
      <c r="T31" s="82" t="n"/>
      <c r="U31" s="82" t="n"/>
      <c r="V31" s="82" t="n"/>
      <c r="W31" s="82" t="n"/>
      <c r="X31" s="82" t="n"/>
      <c r="Y31" s="82" t="n"/>
      <c r="Z31" s="139" t="n"/>
      <c r="AA31" s="138" t="n"/>
      <c r="AB31" s="138" t="n"/>
    </row>
    <row customHeight="1" ht="21.75" r="32">
      <c r="A32" s="86" t="inlineStr">
        <is>
          <t>DC Link
直流连接</t>
        </is>
      </c>
      <c r="B32" s="84" t="inlineStr">
        <is>
          <t>DC Voltage 
直流电压</t>
        </is>
      </c>
      <c r="C32" s="28" t="n"/>
      <c r="D32" s="28" t="n"/>
      <c r="E32" s="29" t="n"/>
      <c r="F32" s="124" t="inlineStr">
        <is>
          <t>[V]</t>
        </is>
      </c>
      <c r="G32" s="125" t="n">
        <v>600</v>
      </c>
      <c r="H32" s="125" t="n">
        <v>600</v>
      </c>
      <c r="I32" s="125" t="n">
        <v>600</v>
      </c>
      <c r="J32" s="125" t="n">
        <v>600</v>
      </c>
      <c r="K32" s="125" t="n">
        <v>600</v>
      </c>
      <c r="L32" s="125" t="n">
        <v>600</v>
      </c>
      <c r="M32" s="125" t="n">
        <v>600</v>
      </c>
      <c r="N32" s="125" t="n">
        <v>600</v>
      </c>
      <c r="O32" s="125" t="n">
        <v>600</v>
      </c>
      <c r="P32" s="125" t="n">
        <v>600</v>
      </c>
      <c r="Q32" s="125" t="n">
        <v>600</v>
      </c>
      <c r="R32" s="125" t="n">
        <v>600</v>
      </c>
      <c r="S32" s="125" t="n">
        <v>600</v>
      </c>
      <c r="T32" s="125" t="n">
        <v>600</v>
      </c>
      <c r="U32" s="125" t="n">
        <v>600</v>
      </c>
      <c r="V32" s="125" t="n">
        <v>600</v>
      </c>
      <c r="W32" s="125" t="n">
        <v>600</v>
      </c>
      <c r="X32" s="125" t="n">
        <v>600</v>
      </c>
      <c r="Y32" s="125" t="n">
        <v>600</v>
      </c>
      <c r="Z32" s="125" t="n">
        <v>600</v>
      </c>
      <c r="AA32" s="138" t="n"/>
      <c r="AB32" s="138" t="n"/>
    </row>
    <row customHeight="1" ht="30" r="33">
      <c r="A33" s="26" t="n"/>
      <c r="B33" s="50" t="inlineStr">
        <is>
          <t>DC Current 
直流电流</t>
        </is>
      </c>
      <c r="C33" s="36" t="n"/>
      <c r="D33" s="36" t="n"/>
      <c r="E33" s="13" t="n"/>
      <c r="F33" s="116" t="inlineStr">
        <is>
          <t>[A]</t>
        </is>
      </c>
      <c r="G33" s="126" t="n"/>
      <c r="H33" s="126" t="n"/>
      <c r="I33" s="126" t="n"/>
      <c r="J33" s="126" t="n"/>
      <c r="K33" s="126" t="n"/>
      <c r="L33" s="126" t="n"/>
      <c r="M33" s="126" t="n"/>
      <c r="N33" s="126" t="n"/>
      <c r="O33" s="126" t="n"/>
      <c r="P33" s="126" t="n"/>
      <c r="Q33" s="126" t="n"/>
      <c r="R33" s="126" t="n"/>
      <c r="S33" s="126" t="n"/>
      <c r="T33" s="126" t="n"/>
      <c r="U33" s="126" t="n"/>
      <c r="V33" s="126" t="n"/>
      <c r="W33" s="126" t="n"/>
      <c r="X33" s="126" t="n"/>
      <c r="Y33" s="126" t="n"/>
      <c r="Z33" s="126" t="n"/>
      <c r="AA33" s="138" t="n"/>
      <c r="AB33" s="138" t="n"/>
    </row>
    <row customHeight="1" ht="30" r="34">
      <c r="A34" s="30" t="n"/>
      <c r="B34" s="80" t="inlineStr">
        <is>
          <t>DC Power 
直流功率</t>
        </is>
      </c>
      <c r="C34" s="24" t="n"/>
      <c r="D34" s="24" t="n"/>
      <c r="E34" s="25" t="n"/>
      <c r="F34" s="122" t="inlineStr">
        <is>
          <t>[kW]</t>
        </is>
      </c>
      <c r="G34" s="127">
        <f>IF(G33="","",G32*G33/1000)</f>
        <v/>
      </c>
      <c r="H34" s="127">
        <f>IF(H33="","",H32*H33/1000)</f>
        <v/>
      </c>
      <c r="I34" s="127">
        <f>IF(I33="","",I32*I33/1000)</f>
        <v/>
      </c>
      <c r="J34" s="127">
        <f>IF(J33="","",J32*J33/1000)</f>
        <v/>
      </c>
      <c r="K34" s="127">
        <f>IF(K33="","",K32*K33/1000)</f>
        <v/>
      </c>
      <c r="L34" s="127">
        <f>IF(L33="","",L32*L33/1000)</f>
        <v/>
      </c>
      <c r="M34" s="127">
        <f>IF(M33="","",M32*M33/1000)</f>
        <v/>
      </c>
      <c r="N34" s="127">
        <f>IF(N33="","",N32*N33/1000)</f>
        <v/>
      </c>
      <c r="O34" s="127">
        <f>IF(O33="","",O32*O33/1000)</f>
        <v/>
      </c>
      <c r="P34" s="127">
        <f>IF(P33="","",P32*P33/1000)</f>
        <v/>
      </c>
      <c r="Q34" s="127">
        <f>IF(Q33="","",Q32*Q33/1000)</f>
        <v/>
      </c>
      <c r="R34" s="127">
        <f>IF(R33="","",R32*R33/1000)</f>
        <v/>
      </c>
      <c r="S34" s="127">
        <f>IF(S33="","",S32*S33/1000)</f>
        <v/>
      </c>
      <c r="T34" s="127">
        <f>IF(T33="","",T32*T33/1000)</f>
        <v/>
      </c>
      <c r="U34" s="127">
        <f>IF(U33="","",U32*U33/1000)</f>
        <v/>
      </c>
      <c r="V34" s="127">
        <f>IF(V33="","",V32*V33/1000)</f>
        <v/>
      </c>
      <c r="W34" s="127">
        <f>IF(W33="","",W32*W33/1000)</f>
        <v/>
      </c>
      <c r="X34" s="127">
        <f>IF(X33="","",X32*X33/1000)</f>
        <v/>
      </c>
      <c r="Y34" s="127">
        <f>IF(Y33="","",Y32*Y33/1000)</f>
        <v/>
      </c>
      <c r="Z34" s="127">
        <f>IF(Z33="","",Z32*Z33/1000)</f>
        <v/>
      </c>
      <c r="AA34" s="138" t="n"/>
      <c r="AB34" s="138" t="n"/>
    </row>
    <row customHeight="1" ht="9.75" r="35">
      <c r="A35" s="85" t="n"/>
      <c r="B35" s="82" t="n"/>
      <c r="C35" s="82" t="n"/>
      <c r="D35" s="82" t="n"/>
      <c r="E35" s="82" t="n"/>
      <c r="F35" s="82" t="n"/>
      <c r="G35" s="82" t="n"/>
      <c r="H35" s="82" t="n"/>
      <c r="I35" s="82" t="n"/>
      <c r="J35" s="82" t="n"/>
      <c r="K35" s="82" t="n"/>
      <c r="L35" s="82" t="n"/>
      <c r="M35" s="82" t="n"/>
      <c r="N35" s="82" t="n"/>
      <c r="O35" s="82" t="n"/>
      <c r="P35" s="82" t="n"/>
      <c r="Q35" s="82" t="n"/>
      <c r="R35" s="82" t="n"/>
      <c r="S35" s="82" t="n"/>
      <c r="T35" s="82" t="n"/>
      <c r="U35" s="82" t="n"/>
      <c r="V35" s="82" t="n"/>
      <c r="W35" s="82" t="n"/>
      <c r="X35" s="82" t="n"/>
      <c r="Y35" s="82" t="n"/>
      <c r="Z35" s="139" t="n"/>
      <c r="AA35" s="138" t="n"/>
      <c r="AB35" s="138" t="n"/>
    </row>
    <row customHeight="1" ht="30" r="36">
      <c r="A36" s="86" t="inlineStr">
        <is>
          <t>AC Parameters
交流参数</t>
        </is>
      </c>
      <c r="B36" s="90" t="inlineStr">
        <is>
          <t>Inverter Output Voltage ph-n 
逆变器输出电压</t>
        </is>
      </c>
      <c r="C36" s="28" t="n"/>
      <c r="D36" s="28" t="n"/>
      <c r="E36" s="28" t="n"/>
      <c r="F36" s="128" t="inlineStr">
        <is>
          <t>[VRMS]</t>
        </is>
      </c>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38" t="n"/>
      <c r="AB36" s="138" t="n"/>
    </row>
    <row customHeight="1" ht="30" r="37">
      <c r="A37" s="26" t="n"/>
      <c r="B37" s="91" t="inlineStr">
        <is>
          <t>Inverter Output Voltage (Fundamental ph-n) 
逆变器输出电压</t>
        </is>
      </c>
      <c r="C37" s="36" t="n"/>
      <c r="D37" s="36" t="n"/>
      <c r="E37" s="36" t="n"/>
      <c r="F37" s="129" t="inlineStr">
        <is>
          <t>[VRMS]</t>
        </is>
      </c>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c r="AA37" s="138" t="n"/>
      <c r="AB37" s="138" t="n"/>
    </row>
    <row customHeight="1" ht="30" r="38">
      <c r="A38" s="26" t="n"/>
      <c r="B38" s="91" t="inlineStr">
        <is>
          <t>Inverter Output Current 
逆变器输出电流</t>
        </is>
      </c>
      <c r="C38" s="36" t="n"/>
      <c r="D38" s="36" t="n"/>
      <c r="E38" s="36" t="n"/>
      <c r="F38" s="129" t="inlineStr">
        <is>
          <t>[ARMS]</t>
        </is>
      </c>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38" t="n"/>
      <c r="AB38" s="138" t="n"/>
    </row>
    <row customHeight="1" ht="30" r="39">
      <c r="A39" s="26" t="n"/>
      <c r="B39" s="91" t="inlineStr">
        <is>
          <t>Inverter Output Current (Fundamental) 
逆变器输出电流</t>
        </is>
      </c>
      <c r="C39" s="36" t="n"/>
      <c r="D39" s="36" t="n"/>
      <c r="E39" s="36" t="n"/>
      <c r="F39" s="129" t="inlineStr">
        <is>
          <t>[ARMS]</t>
        </is>
      </c>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c r="AA39" s="138" t="n"/>
      <c r="AB39" s="138" t="n"/>
    </row>
    <row customHeight="1" ht="30" r="40">
      <c r="A40" s="26" t="n"/>
      <c r="B40" s="91" t="inlineStr">
        <is>
          <t>Inverter Output Power 
逆变器输出功率</t>
        </is>
      </c>
      <c r="C40" s="36" t="n"/>
      <c r="D40" s="36" t="n"/>
      <c r="E40" s="36" t="n"/>
      <c r="F40" s="129" t="inlineStr">
        <is>
          <t>[kW]</t>
        </is>
      </c>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38" t="n"/>
      <c r="AB40" s="138" t="n"/>
    </row>
    <row customHeight="1" ht="30" r="41">
      <c r="A41" s="26" t="n"/>
      <c r="B41" s="91" t="inlineStr">
        <is>
          <t>Inverter Output Power (Fundamental)
逆变器输出功率</t>
        </is>
      </c>
      <c r="C41" s="36" t="n"/>
      <c r="D41" s="36" t="n"/>
      <c r="E41" s="36" t="n"/>
      <c r="F41" s="129" t="inlineStr">
        <is>
          <t>[kW]</t>
        </is>
      </c>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c r="AA41" s="138" t="n"/>
      <c r="AB41" s="138" t="n"/>
    </row>
    <row customHeight="1" ht="26.25" r="42">
      <c r="A42" s="26" t="n"/>
      <c r="B42" s="50" t="inlineStr">
        <is>
          <t>Inverter Output Power Factor
逆变器输出功率系数</t>
        </is>
      </c>
      <c r="C42" s="36" t="n"/>
      <c r="D42" s="36" t="n"/>
      <c r="E42" s="13" t="n"/>
      <c r="F42" s="110" t="inlineStr">
        <is>
          <t>[%]</t>
        </is>
      </c>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c r="AA42" s="138" t="n"/>
      <c r="AB42" s="138" t="n"/>
    </row>
    <row customHeight="1" ht="30" r="43">
      <c r="A43" s="30" t="n"/>
      <c r="B43" s="80" t="inlineStr">
        <is>
          <t>Inverter Output Power Factor (Fundamental)
逆变器输出功率系数</t>
        </is>
      </c>
      <c r="C43" s="24" t="n"/>
      <c r="D43" s="24" t="n"/>
      <c r="E43" s="25" t="n"/>
      <c r="F43" s="130" t="inlineStr">
        <is>
          <t>[%]</t>
        </is>
      </c>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c r="AA43" s="138" t="n"/>
      <c r="AB43" s="138" t="n"/>
    </row>
    <row customHeight="1" ht="17.55" r="44">
      <c r="A44" s="85" t="n"/>
      <c r="B44" s="82" t="n"/>
      <c r="C44" s="82" t="n"/>
      <c r="D44" s="82" t="n"/>
      <c r="E44" s="82" t="n"/>
      <c r="F44" s="82" t="n"/>
      <c r="G44" s="82" t="n"/>
      <c r="H44" s="82" t="n"/>
      <c r="I44" s="82" t="n"/>
      <c r="J44" s="82" t="n"/>
      <c r="K44" s="82" t="n"/>
      <c r="L44" s="82" t="n"/>
      <c r="M44" s="82" t="n"/>
      <c r="N44" s="82" t="n"/>
      <c r="O44" s="82" t="n"/>
      <c r="P44" s="82" t="n"/>
      <c r="Q44" s="82" t="n"/>
      <c r="R44" s="82" t="n"/>
      <c r="S44" s="82" t="n"/>
      <c r="T44" s="82" t="n"/>
      <c r="U44" s="82" t="n"/>
      <c r="V44" s="82" t="n"/>
      <c r="W44" s="82" t="n"/>
      <c r="X44" s="82" t="n"/>
      <c r="Y44" s="82" t="n"/>
      <c r="Z44" s="139" t="n"/>
      <c r="AA44" s="138" t="n"/>
      <c r="AB44" s="138" t="n"/>
    </row>
    <row customHeight="1" ht="30" r="45">
      <c r="A45" s="86" t="inlineStr">
        <is>
          <t>Efficiency
效率</t>
        </is>
      </c>
      <c r="B45" s="92" t="inlineStr">
        <is>
          <t>Kt ideal@20°C &amp; 1000 rpm</t>
        </is>
      </c>
      <c r="C45" s="88" t="n"/>
      <c r="D45" s="88" t="n"/>
      <c r="E45" s="88" t="n"/>
      <c r="F45" s="131" t="inlineStr">
        <is>
          <t>[Nm/A]</t>
        </is>
      </c>
      <c r="G45" s="132">
        <f>IF(G21="","",SQRT(3)*G21/(2*PI()*1000/60))</f>
        <v/>
      </c>
      <c r="H45" s="88" t="n"/>
      <c r="I45" s="88" t="n"/>
      <c r="J45" s="88" t="n"/>
      <c r="K45" s="88" t="n"/>
      <c r="L45" s="88" t="n"/>
      <c r="M45" s="88" t="n"/>
      <c r="N45" s="88" t="n"/>
      <c r="O45" s="88" t="n"/>
      <c r="P45" s="88" t="n"/>
      <c r="Q45" s="88" t="n"/>
      <c r="R45" s="88" t="n"/>
      <c r="S45" s="88" t="n"/>
      <c r="T45" s="88" t="n"/>
      <c r="U45" s="88" t="n"/>
      <c r="V45" s="88" t="n"/>
      <c r="W45" s="88" t="n"/>
      <c r="X45" s="88" t="n"/>
      <c r="Y45" s="88" t="n"/>
      <c r="Z45" s="140" t="n"/>
      <c r="AA45" s="138" t="n"/>
      <c r="AB45" s="138" t="n"/>
    </row>
    <row customHeight="1" ht="30" r="46">
      <c r="A46" s="26" t="n"/>
      <c r="B46" s="93" t="inlineStr">
        <is>
          <t>CTEMP before and after testing</t>
        </is>
      </c>
      <c r="C46" s="94" t="n"/>
      <c r="D46" s="94" t="n"/>
      <c r="E46" s="94" t="n"/>
      <c r="F46" s="116" t="n"/>
      <c r="G46" s="119">
        <f>IF(G29="","",G29/G21)</f>
        <v/>
      </c>
      <c r="H46" s="36" t="n"/>
      <c r="I46" s="36" t="n"/>
      <c r="J46" s="36" t="n"/>
      <c r="K46" s="36" t="n"/>
      <c r="L46" s="36" t="n"/>
      <c r="M46" s="36" t="n"/>
      <c r="N46" s="36" t="n"/>
      <c r="O46" s="36" t="n"/>
      <c r="P46" s="36" t="n"/>
      <c r="Q46" s="36" t="n"/>
      <c r="R46" s="36" t="n"/>
      <c r="S46" s="36" t="n"/>
      <c r="T46" s="36" t="n"/>
      <c r="U46" s="36" t="n"/>
      <c r="V46" s="36" t="n"/>
      <c r="W46" s="36" t="n"/>
      <c r="X46" s="36" t="n"/>
      <c r="Y46" s="36" t="n"/>
      <c r="Z46" s="13" t="n"/>
      <c r="AA46" s="138" t="n"/>
      <c r="AB46" s="138" t="n"/>
    </row>
    <row customHeight="1" ht="30" r="47">
      <c r="A47" s="26" t="n"/>
      <c r="B47" s="93" t="inlineStr">
        <is>
          <t>CSAT</t>
        </is>
      </c>
      <c r="C47" s="94" t="n"/>
      <c r="D47" s="94" t="n"/>
      <c r="E47" s="94" t="n"/>
      <c r="F47" s="116" t="n"/>
      <c r="G47" s="119">
        <f>IF(G39="","",1-(0.000573*G39+0.042348))</f>
        <v/>
      </c>
      <c r="H47" s="119">
        <f>IF(H39="","",1-(0.000573*H39+0.042348))</f>
        <v/>
      </c>
      <c r="I47" s="119">
        <f>IF(I39="","",1-(0.000573*I39+0.042348))</f>
        <v/>
      </c>
      <c r="J47" s="119">
        <f>IF(J39="","",1-(0.000573*J39+0.042348))</f>
        <v/>
      </c>
      <c r="K47" s="119">
        <f>IF(K39="","",1-(0.000573*K39+0.042348))</f>
        <v/>
      </c>
      <c r="L47" s="119">
        <f>IF(L39="","",1-(0.000573*L39+0.042348))</f>
        <v/>
      </c>
      <c r="M47" s="119">
        <f>IF(M39="","",1-(0.000573*M39+0.042348))</f>
        <v/>
      </c>
      <c r="N47" s="119">
        <f>IF(N39="","",1-(0.000573*N39+0.042348))</f>
        <v/>
      </c>
      <c r="O47" s="119">
        <f>IF(O39="","",1-(0.000573*O39+0.042348))</f>
        <v/>
      </c>
      <c r="P47" s="119">
        <f>IF(P39="","",1-(0.000573*P39+0.042348))</f>
        <v/>
      </c>
      <c r="Q47" s="119">
        <f>IF(Q39="","",1-(0.000573*Q39+0.042348))</f>
        <v/>
      </c>
      <c r="R47" s="119">
        <f>IF(R39="","",1-(0.000573*R39+0.042348))</f>
        <v/>
      </c>
      <c r="S47" s="119">
        <f>IF(S39="","",1-(0.000573*S39+0.042348))</f>
        <v/>
      </c>
      <c r="T47" s="119">
        <f>IF(T39="","",1-(0.000573*T39+0.042348))</f>
        <v/>
      </c>
      <c r="U47" s="119">
        <f>IF(U39="","",1-(0.000573*U39+0.042348))</f>
        <v/>
      </c>
      <c r="V47" s="119">
        <f>IF(V39="","",1-(0.000573*V39+0.042348))</f>
        <v/>
      </c>
      <c r="W47" s="119">
        <f>IF(W39="","",1-(0.000573*W39+0.042348))</f>
        <v/>
      </c>
      <c r="X47" s="119">
        <f>IF(X39="","",1-(0.000573*X39+0.042348))</f>
        <v/>
      </c>
      <c r="Y47" s="119">
        <f>IF(Y39="","",1-(0.000573*Y39+0.042348))</f>
        <v/>
      </c>
      <c r="Z47" s="119">
        <f>IF(Z39="","",1-(0.000573*Z39+0.042348))</f>
        <v/>
      </c>
      <c r="AA47" s="138" t="n"/>
      <c r="AB47" s="138" t="n"/>
    </row>
    <row customHeight="1" ht="30" r="48">
      <c r="A48" s="26" t="n"/>
      <c r="B48" s="50" t="inlineStr">
        <is>
          <t>Kt expected 
期望Kt值</t>
        </is>
      </c>
      <c r="C48" s="36" t="n"/>
      <c r="D48" s="36" t="n"/>
      <c r="E48" s="13" t="n"/>
      <c r="F48" s="116" t="inlineStr">
        <is>
          <t>[Nm/A]</t>
        </is>
      </c>
      <c r="G48" s="119">
        <f>IF(OR(G45="",G46="",G47=""),"",G46*G47*G45)</f>
        <v/>
      </c>
      <c r="H48" s="119">
        <f>IF(OR(G45="",G46="",H47=""),"",G46*H47*G45)</f>
        <v/>
      </c>
      <c r="I48" s="137">
        <f>IF(OR(G45="",G46="",I47=""),"",G46*I47*G45)</f>
        <v/>
      </c>
      <c r="J48" s="137">
        <f>IF(OR(G45="",G46="",J47=""),"",G46*J47*G45)</f>
        <v/>
      </c>
      <c r="K48" s="137">
        <f>IF(OR(G45="",G46="",K47=""),"",G46*K47*G45)</f>
        <v/>
      </c>
      <c r="L48" s="137">
        <f>IF(OR(G45="",G46="",L47=""),"",G46*L47*G45)</f>
        <v/>
      </c>
      <c r="M48" s="137">
        <f>IF(OR(G45="",G46="",M47=""),"",G46*M47*G45)</f>
        <v/>
      </c>
      <c r="N48" s="137">
        <f>IF(OR(G45="",G46="",N47=""),"",G46*N47*G45)</f>
        <v/>
      </c>
      <c r="O48" s="137">
        <f>IF(OR(G45="",G46="",O47=""),"",G46*O47*G45)</f>
        <v/>
      </c>
      <c r="P48" s="137">
        <f>IF(OR(G45="",G46="",P47=""),"",G46*P47*G45)</f>
        <v/>
      </c>
      <c r="Q48" s="137">
        <f>IF(OR(G45="",G46="",Q47=""),"",G46*Q47*G45)</f>
        <v/>
      </c>
      <c r="R48" s="137">
        <f>IF(OR(G45="",G46="",R47=""),"",G46*R47*G45)</f>
        <v/>
      </c>
      <c r="S48" s="137">
        <f>IF(OR(G45="",G46="",S47=""),"",G46*S47*G45)</f>
        <v/>
      </c>
      <c r="T48" s="137">
        <f>IF(OR(G45="",G46="",T47=""),"",G46*T47*G45)</f>
        <v/>
      </c>
      <c r="U48" s="137">
        <f>IF(OR(G45="",G46="",U47=""),"",G46*U47*G45)</f>
        <v/>
      </c>
      <c r="V48" s="137">
        <f>IF(OR(G45="",G46="",V47=""),"",G46*V47*G45)</f>
        <v/>
      </c>
      <c r="W48" s="137">
        <f>IF(OR(G45="",G46="",W47=""),"",G46*W47*G45)</f>
        <v/>
      </c>
      <c r="X48" s="137">
        <f>IF(OR(G45="",G46="",X47=""),"",G46*X47*G45)</f>
        <v/>
      </c>
      <c r="Y48" s="137">
        <f>IF(OR(G45="",G46="",Y47=""),"",G46*Y47*G45)</f>
        <v/>
      </c>
      <c r="Z48" s="137">
        <f>IF(OR(G45="",G46="",Z47=""),"",G46*Z47*G45)</f>
        <v/>
      </c>
      <c r="AA48" s="138" t="n"/>
      <c r="AB48" s="138" t="n"/>
    </row>
    <row customHeight="1" ht="30" r="49">
      <c r="A49" s="26" t="n"/>
      <c r="B49" s="50" t="inlineStr">
        <is>
          <t>Kt at end of test 
测试后Kt值</t>
        </is>
      </c>
      <c r="C49" s="36" t="n"/>
      <c r="D49" s="36" t="n"/>
      <c r="E49" s="13" t="n"/>
      <c r="F49" s="116" t="inlineStr">
        <is>
          <t>[Nm/A]</t>
        </is>
      </c>
      <c r="G49" s="119">
        <f>IF(G38="","",G27/G38)</f>
        <v/>
      </c>
      <c r="H49" s="119">
        <f>IF(H38="","",H27/H38)</f>
        <v/>
      </c>
      <c r="I49" s="119">
        <f>IF(I38="","",I27/I38)</f>
        <v/>
      </c>
      <c r="J49" s="119">
        <f>IF(J38="","",J27/J38)</f>
        <v/>
      </c>
      <c r="K49" s="119">
        <f>IF(K38="","",K27/K38)</f>
        <v/>
      </c>
      <c r="L49" s="119">
        <f>IF(L38="","",L27/L38)</f>
        <v/>
      </c>
      <c r="M49" s="119">
        <f>IF(M38="","",M27/M38)</f>
        <v/>
      </c>
      <c r="N49" s="119">
        <f>IF(N38="","",N27/N38)</f>
        <v/>
      </c>
      <c r="O49" s="119">
        <f>IF(O38="","",O27/O38)</f>
        <v/>
      </c>
      <c r="P49" s="119">
        <f>IF(P38="","",P27/P38)</f>
        <v/>
      </c>
      <c r="Q49" s="119">
        <f>IF(Q38="","",Q27/Q38)</f>
        <v/>
      </c>
      <c r="R49" s="119">
        <f>IF(R38="","",R27/R38)</f>
        <v/>
      </c>
      <c r="S49" s="119">
        <f>IF(S38="","",S27/S38)</f>
        <v/>
      </c>
      <c r="T49" s="119">
        <f>IF(T38="","",T27/T38)</f>
        <v/>
      </c>
      <c r="U49" s="119">
        <f>IF(U38="","",U27/U38)</f>
        <v/>
      </c>
      <c r="V49" s="119">
        <f>IF(V38="","",V27/V38)</f>
        <v/>
      </c>
      <c r="W49" s="119">
        <f>IF(W38="","",W27/W38)</f>
        <v/>
      </c>
      <c r="X49" s="119">
        <f>IF(X38="","",X27/X38)</f>
        <v/>
      </c>
      <c r="Y49" s="119">
        <f>IF(Y38="","",Y27/Y38)</f>
        <v/>
      </c>
      <c r="Z49" s="119">
        <f>IF(Z38="","",Z27/Z38)</f>
        <v/>
      </c>
      <c r="AA49" s="138" t="n"/>
      <c r="AB49" s="138" t="n"/>
    </row>
    <row customHeight="1" ht="30" r="50">
      <c r="A50" s="26" t="n"/>
      <c r="B50" s="50" t="inlineStr">
        <is>
          <t>Actual Loss Motor 
电机实际损失</t>
        </is>
      </c>
      <c r="C50" s="36" t="n"/>
      <c r="D50" s="36" t="n"/>
      <c r="E50" s="13" t="n"/>
      <c r="F50" s="116" t="inlineStr">
        <is>
          <t>[kW]</t>
        </is>
      </c>
      <c r="G50" s="119">
        <f>ABS(ABS(G40)-ABS(G28))</f>
        <v/>
      </c>
      <c r="H50" s="119">
        <f>ABS(ABS(H40)-ABS(H28))</f>
        <v/>
      </c>
      <c r="I50" s="119">
        <f>ABS(ABS(I40)-ABS(I28))</f>
        <v/>
      </c>
      <c r="J50" s="119">
        <f>ABS(ABS(J40)-ABS(J28))</f>
        <v/>
      </c>
      <c r="K50" s="119">
        <f>ABS(ABS(K40)-ABS(K28))</f>
        <v/>
      </c>
      <c r="L50" s="119">
        <f>ABS(ABS(L40)-ABS(L28))</f>
        <v/>
      </c>
      <c r="M50" s="119">
        <f>ABS(ABS(M40)-ABS(M28))</f>
        <v/>
      </c>
      <c r="N50" s="119">
        <f>ABS(ABS(N40)-ABS(N28))</f>
        <v/>
      </c>
      <c r="O50" s="119">
        <f>ABS(ABS(O40)-ABS(O28))</f>
        <v/>
      </c>
      <c r="P50" s="119">
        <f>ABS(ABS(P40)-ABS(P28))</f>
        <v/>
      </c>
      <c r="Q50" s="119">
        <f>ABS(ABS(Q40)-ABS(Q28))</f>
        <v/>
      </c>
      <c r="R50" s="119">
        <f>ABS(ABS(R40)-ABS(R28))</f>
        <v/>
      </c>
      <c r="S50" s="119">
        <f>ABS(ABS(S40)-ABS(S28))</f>
        <v/>
      </c>
      <c r="T50" s="119">
        <f>ABS(ABS(T40)-ABS(T28))</f>
        <v/>
      </c>
      <c r="U50" s="119">
        <f>ABS(ABS(U40)-ABS(U28))</f>
        <v/>
      </c>
      <c r="V50" s="119">
        <f>ABS(ABS(V40)-ABS(V28))</f>
        <v/>
      </c>
      <c r="W50" s="119">
        <f>ABS(ABS(W40)-ABS(W28))</f>
        <v/>
      </c>
      <c r="X50" s="119">
        <f>ABS(ABS(X40)-ABS(X28))</f>
        <v/>
      </c>
      <c r="Y50" s="119">
        <f>ABS(ABS(Y40)-ABS(Y28))</f>
        <v/>
      </c>
      <c r="Z50" s="119">
        <f>ABS(ABS(Z40)-ABS(Z28))</f>
        <v/>
      </c>
      <c r="AA50" s="138" t="n"/>
      <c r="AB50" s="138" t="n"/>
    </row>
    <row customHeight="1" ht="30" r="51">
      <c r="A51" s="26" t="n"/>
      <c r="B51" s="50" t="inlineStr">
        <is>
          <t>Actual Loss Inverter 
逆变器实际损失</t>
        </is>
      </c>
      <c r="C51" s="36" t="n"/>
      <c r="D51" s="36" t="n"/>
      <c r="E51" s="13" t="n"/>
      <c r="F51" s="116" t="inlineStr">
        <is>
          <t>[kW]</t>
        </is>
      </c>
      <c r="G51" s="119">
        <f>ABS(ABS(G34)-ABS(G40))</f>
        <v/>
      </c>
      <c r="H51" s="119">
        <f>ABS(ABS(H34)-ABS(H40))</f>
        <v/>
      </c>
      <c r="I51" s="119">
        <f>ABS(ABS(I34)-ABS(I40))</f>
        <v/>
      </c>
      <c r="J51" s="119">
        <f>ABS(ABS(J34)-ABS(J40))</f>
        <v/>
      </c>
      <c r="K51" s="119">
        <f>ABS(ABS(K34)-ABS(K40))</f>
        <v/>
      </c>
      <c r="L51" s="119">
        <f>ABS(ABS(L34)-ABS(L40))</f>
        <v/>
      </c>
      <c r="M51" s="119">
        <f>ABS(ABS(M34)-ABS(M40))</f>
        <v/>
      </c>
      <c r="N51" s="119">
        <f>ABS(ABS(N34)-ABS(N40))</f>
        <v/>
      </c>
      <c r="O51" s="119">
        <f>ABS(ABS(O34)-ABS(O40))</f>
        <v/>
      </c>
      <c r="P51" s="119">
        <f>ABS(ABS(P34)-ABS(P40))</f>
        <v/>
      </c>
      <c r="Q51" s="119">
        <f>ABS(ABS(Q34)-ABS(Q40))</f>
        <v/>
      </c>
      <c r="R51" s="119">
        <f>ABS(ABS(R34)-ABS(R40))</f>
        <v/>
      </c>
      <c r="S51" s="119">
        <f>ABS(ABS(S34)-ABS(S40))</f>
        <v/>
      </c>
      <c r="T51" s="119">
        <f>ABS(ABS(T34)-ABS(T40))</f>
        <v/>
      </c>
      <c r="U51" s="119">
        <f>ABS(ABS(U34)-ABS(U40))</f>
        <v/>
      </c>
      <c r="V51" s="119">
        <f>ABS(ABS(V34)-ABS(V40))</f>
        <v/>
      </c>
      <c r="W51" s="119">
        <f>ABS(ABS(W34)-ABS(W40))</f>
        <v/>
      </c>
      <c r="X51" s="119">
        <f>ABS(ABS(X34)-ABS(X40))</f>
        <v/>
      </c>
      <c r="Y51" s="119">
        <f>ABS(ABS(Y34)-ABS(Y40))</f>
        <v/>
      </c>
      <c r="Z51" s="119">
        <f>ABS(ABS(Z34)-ABS(Z40))</f>
        <v/>
      </c>
      <c r="AA51" s="138" t="n"/>
      <c r="AB51" s="138" t="n"/>
    </row>
    <row customHeight="1" ht="30" r="52">
      <c r="A52" s="26" t="n"/>
      <c r="B52" s="50" t="inlineStr">
        <is>
          <t>Efficiency Motor 
电机效率</t>
        </is>
      </c>
      <c r="C52" s="36" t="n"/>
      <c r="D52" s="36" t="n"/>
      <c r="E52" s="13" t="n"/>
      <c r="F52" s="116" t="inlineStr">
        <is>
          <t>[%]</t>
        </is>
      </c>
      <c r="G52" s="133">
        <f>IF(OR(G7="Traction &amp; Torque主转扭矩",G7="Traction &amp; Speed主转速度"),ABS(G28)/ABS(G40),ABS(G40)/ABS(G28))</f>
        <v/>
      </c>
      <c r="H52" s="133">
        <f>IF(OR(H7="Traction &amp; Torque主转扭矩",H7="Generation &amp; Torque发电扭矩"),ABS(H28)/ABS(H40),ABS(H40)/ABS(H28))</f>
        <v/>
      </c>
      <c r="I52" s="133">
        <f>IF(OR(I7="Traction &amp; Torque主转扭矩",I7="Generation &amp; Torque发电扭矩"),ABS(I28)/ABS(I40),ABS(I40)/ABS(I28))</f>
        <v/>
      </c>
      <c r="J52" s="133">
        <f>IF(OR(J7="Traction &amp; Torque主转扭矩",J7="Generation &amp; Torque发电扭矩"),ABS(J28)/ABS(J40),ABS(J40)/ABS(J28))</f>
        <v/>
      </c>
      <c r="K52" s="133">
        <f>IF(OR(K7="Traction &amp; Torque主转扭矩",K7="Generation &amp; Torque发电扭矩"),ABS(K28)/ABS(K40),ABS(K40)/ABS(K28))</f>
        <v/>
      </c>
      <c r="L52" s="133">
        <f>IF(OR(L7="Traction &amp; Torque主转扭矩",L7="Generation &amp; Torque发电扭矩"),ABS(L28)/ABS(L40),ABS(L40)/ABS(L28))</f>
        <v/>
      </c>
      <c r="M52" s="133">
        <f>IF(OR(M7="Traction &amp; Torque主转扭矩",M7="Generation &amp; Torque发电扭矩"),ABS(M28)/ABS(M40),ABS(M40)/ABS(M28))</f>
        <v/>
      </c>
      <c r="N52" s="133">
        <f>IF(OR(N7="Traction &amp; Torque主转扭矩",N7="Generation &amp; Torque发电扭矩"),ABS(N28)/ABS(N40),ABS(N40)/ABS(N28))</f>
        <v/>
      </c>
      <c r="O52" s="133">
        <f>IF(OR(O7="Traction &amp; Torque主转扭矩",O7="Generation &amp; Torque发电扭矩"),ABS(O28)/ABS(O40),ABS(O40)/ABS(O28))</f>
        <v/>
      </c>
      <c r="P52" s="133">
        <f>IF(OR(P7="Traction &amp; Torque主转扭矩",P7="Generation &amp; Torque发电扭矩"),ABS(P28)/ABS(P40),ABS(P40)/ABS(P28))</f>
        <v/>
      </c>
      <c r="Q52" s="133">
        <f>IF(OR(Q7="Traction &amp; Torque主转扭矩",Q7="Generation &amp; Torque发电扭矩"),ABS(Q28)/ABS(Q40),ABS(Q40)/ABS(Q28))</f>
        <v/>
      </c>
      <c r="R52" s="133">
        <f>IF(OR(R7="Traction &amp; Torque主转扭矩",R7="Generation &amp; Torque发电扭矩"),ABS(R28)/ABS(R40),ABS(R40)/ABS(R28))</f>
        <v/>
      </c>
      <c r="S52" s="133">
        <f>IF(OR(S7="Traction &amp; Torque主转扭矩",S7="Generation &amp; Torque发电扭矩"),ABS(S28)/ABS(S40),ABS(S40)/ABS(S28))</f>
        <v/>
      </c>
      <c r="T52" s="133">
        <f>IF(OR(T7="Traction &amp; Torque主转扭矩",T7="Generation &amp; Torque发电扭矩"),ABS(T28)/ABS(T40),ABS(T40)/ABS(T28))</f>
        <v/>
      </c>
      <c r="U52" s="133">
        <f>IF(OR(U7="Traction &amp; Torque主转扭矩",U7="Generation &amp; Torque发电扭矩"),ABS(U28)/ABS(U40),ABS(U40)/ABS(U28))</f>
        <v/>
      </c>
      <c r="V52" s="133">
        <f>IF(OR(V7="Traction &amp; Torque主转扭矩",V7="Generation &amp; Torque发电扭矩"),ABS(V28)/ABS(V40),ABS(V40)/ABS(V28))</f>
        <v/>
      </c>
      <c r="W52" s="133">
        <f>IF(OR(W7="Traction &amp; Torque主转扭矩",W7="Generation &amp; Torque发电扭矩"),ABS(W28)/ABS(W40),ABS(W40)/ABS(W28))</f>
        <v/>
      </c>
      <c r="X52" s="133">
        <f>IF(OR(X7="Traction &amp; Torque主转扭矩",X7="Generation &amp; Torque发电扭矩"),ABS(X28)/ABS(X40),ABS(X40)/ABS(X28))</f>
        <v/>
      </c>
      <c r="Y52" s="133">
        <f>IF(OR(Y7="Traction &amp; Torque主转扭矩",Y7="Generation &amp; Torque发电扭矩"),ABS(Y28)/ABS(Y40),ABS(Y40)/ABS(Y28))</f>
        <v/>
      </c>
      <c r="Z52" s="133">
        <f>IF(OR(Z7="Traction &amp; Torque主转扭矩",Z7="Generation &amp; Torque发电扭矩"),ABS(Z28)/ABS(Z40),ABS(Z40)/ABS(Z28))</f>
        <v/>
      </c>
      <c r="AA52" s="138" t="n"/>
      <c r="AB52" s="138" t="n"/>
    </row>
    <row customHeight="1" ht="30" r="53">
      <c r="A53" s="26" t="n"/>
      <c r="B53" s="50" t="inlineStr">
        <is>
          <t>Efficiency Motor  (Fundamental)
电机效率</t>
        </is>
      </c>
      <c r="C53" s="36" t="n"/>
      <c r="D53" s="36" t="n"/>
      <c r="E53" s="13" t="n"/>
      <c r="F53" s="116" t="inlineStr">
        <is>
          <t>[%]</t>
        </is>
      </c>
      <c r="G53" s="133">
        <f>IF(OR(G7="Traction &amp; Torque主转扭矩",G7="Traction &amp; Speed主转速度"),ABS(G28)/ABS(G41),ABS(G41)/ABS(G28))</f>
        <v/>
      </c>
      <c r="H53" s="133">
        <f>IF(OR(H7="Traction &amp; Torque主转扭矩",H7="Traction &amp; Speed主转速度"),ABS(H28)/ABS(H41),ABS(H41)/ABS(H28))</f>
        <v/>
      </c>
      <c r="I53" s="133">
        <f>IF(OR(I7="Traction &amp; Torque主转扭矩",I7="Traction &amp; Speed主转速度"),ABS(I28)/ABS(I41),ABS(I41)/ABS(I28))</f>
        <v/>
      </c>
      <c r="J53" s="133">
        <f>IF(OR(J7="Traction &amp; Torque主转扭矩",J7="Traction &amp; Speed主转速度"),ABS(J28)/ABS(J41),ABS(J41)/ABS(J28))</f>
        <v/>
      </c>
      <c r="K53" s="133">
        <f>IF(OR(K7="Traction &amp; Torque主转扭矩",K7="Traction &amp; Speed主转速度"),ABS(K28)/ABS(K41),ABS(K41)/ABS(K28))</f>
        <v/>
      </c>
      <c r="L53" s="133">
        <f>IF(OR(L7="Traction &amp; Torque主转扭矩",L7="Traction &amp; Speed主转速度"),ABS(L28)/ABS(L41),ABS(L41)/ABS(L28))</f>
        <v/>
      </c>
      <c r="M53" s="133">
        <f>IF(OR(M7="Traction &amp; Torque主转扭矩",M7="Traction &amp; Speed主转速度"),ABS(M28)/ABS(M41),ABS(M41)/ABS(M28))</f>
        <v/>
      </c>
      <c r="N53" s="133">
        <f>IF(OR(N7="Traction &amp; Torque主转扭矩",N7="Traction &amp; Speed主转速度"),ABS(N28)/ABS(N41),ABS(N41)/ABS(N28))</f>
        <v/>
      </c>
      <c r="O53" s="133">
        <f>IF(OR(O7="Traction &amp; Torque主转扭矩",O7="Traction &amp; Speed主转速度"),ABS(O28)/ABS(O41),ABS(O41)/ABS(O28))</f>
        <v/>
      </c>
      <c r="P53" s="133">
        <f>IF(OR(P7="Traction &amp; Torque主转扭矩",P7="Traction &amp; Speed主转速度"),ABS(P28)/ABS(P41),ABS(P41)/ABS(P28))</f>
        <v/>
      </c>
      <c r="Q53" s="133">
        <f>IF(OR(Q7="Traction &amp; Torque主转扭矩",Q7="Traction &amp; Speed主转速度"),ABS(Q28)/ABS(Q41),ABS(Q41)/ABS(Q28))</f>
        <v/>
      </c>
      <c r="R53" s="133">
        <f>IF(OR(R7="Traction &amp; Torque主转扭矩",R7="Traction &amp; Speed主转速度"),ABS(R28)/ABS(R41),ABS(R41)/ABS(R28))</f>
        <v/>
      </c>
      <c r="S53" s="133">
        <f>IF(OR(S7="Traction &amp; Torque主转扭矩",S7="Traction &amp; Speed主转速度"),ABS(S28)/ABS(S41),ABS(S41)/ABS(S28))</f>
        <v/>
      </c>
      <c r="T53" s="133">
        <f>IF(OR(T7="Traction &amp; Torque主转扭矩",T7="Traction &amp; Speed主转速度"),ABS(T28)/ABS(T41),ABS(T41)/ABS(T28))</f>
        <v/>
      </c>
      <c r="U53" s="133">
        <f>IF(OR(U7="Traction &amp; Torque主转扭矩",U7="Traction &amp; Speed主转速度"),ABS(U28)/ABS(U41),ABS(U41)/ABS(U28))</f>
        <v/>
      </c>
      <c r="V53" s="133">
        <f>IF(OR(V7="Traction &amp; Torque主转扭矩",V7="Traction &amp; Speed主转速度"),ABS(V28)/ABS(V41),ABS(V41)/ABS(V28))</f>
        <v/>
      </c>
      <c r="W53" s="133">
        <f>IF(OR(W7="Traction &amp; Torque主转扭矩",W7="Traction &amp; Speed主转速度"),ABS(W28)/ABS(W41),ABS(W41)/ABS(W28))</f>
        <v/>
      </c>
      <c r="X53" s="133">
        <f>IF(OR(X7="Traction &amp; Torque主转扭矩",X7="Traction &amp; Speed主转速度"),ABS(X28)/ABS(X41),ABS(X41)/ABS(X28))</f>
        <v/>
      </c>
      <c r="Y53" s="133">
        <f>IF(OR(Y7="Traction &amp; Torque主转扭矩",Y7="Traction &amp; Speed主转速度"),ABS(Y28)/ABS(Y41),ABS(Y41)/ABS(Y28))</f>
        <v/>
      </c>
      <c r="Z53" s="133">
        <f>IF(OR(Z7="Traction &amp; Torque主转扭矩",Z7="Traction &amp; Speed主转速度"),ABS(Z28)/ABS(Z41),ABS(Z41)/ABS(Z28))</f>
        <v/>
      </c>
      <c r="AA53" s="138" t="n"/>
      <c r="AB53" s="138" t="n"/>
    </row>
    <row customHeight="1" ht="30" r="54">
      <c r="A54" s="26" t="n"/>
      <c r="B54" s="50" t="inlineStr">
        <is>
          <t>Efficiency Inverter 
逆变器效率</t>
        </is>
      </c>
      <c r="C54" s="36" t="n"/>
      <c r="D54" s="36" t="n"/>
      <c r="E54" s="13" t="n"/>
      <c r="F54" s="116" t="inlineStr">
        <is>
          <t>[%]</t>
        </is>
      </c>
      <c r="G54" s="133">
        <f>G40/G34</f>
        <v/>
      </c>
      <c r="H54" s="133">
        <f>H40/H34</f>
        <v/>
      </c>
      <c r="I54" s="133">
        <f>I40/I34</f>
        <v/>
      </c>
      <c r="J54" s="133">
        <f>J40/J34</f>
        <v/>
      </c>
      <c r="K54" s="133">
        <f>K40/K34</f>
        <v/>
      </c>
      <c r="L54" s="133">
        <f>L40/L34</f>
        <v/>
      </c>
      <c r="M54" s="133">
        <f>M40/M34</f>
        <v/>
      </c>
      <c r="N54" s="133">
        <f>N40/N34</f>
        <v/>
      </c>
      <c r="O54" s="133">
        <f>O40/O34</f>
        <v/>
      </c>
      <c r="P54" s="133">
        <f>P40/P34</f>
        <v/>
      </c>
      <c r="Q54" s="133">
        <f>Q40/Q34</f>
        <v/>
      </c>
      <c r="R54" s="133">
        <f>R40/R34</f>
        <v/>
      </c>
      <c r="S54" s="133">
        <f>S40/S34</f>
        <v/>
      </c>
      <c r="T54" s="133">
        <f>T40/T34</f>
        <v/>
      </c>
      <c r="U54" s="133">
        <f>U40/U34</f>
        <v/>
      </c>
      <c r="V54" s="133">
        <f>V40/V34</f>
        <v/>
      </c>
      <c r="W54" s="133">
        <f>W40/W34</f>
        <v/>
      </c>
      <c r="X54" s="133">
        <f>X40/X34</f>
        <v/>
      </c>
      <c r="Y54" s="133">
        <f>Y40/Y34</f>
        <v/>
      </c>
      <c r="Z54" s="133">
        <f>Z40/Z34</f>
        <v/>
      </c>
      <c r="AA54" s="138" t="n"/>
      <c r="AB54" s="138" t="n"/>
    </row>
    <row customHeight="1" ht="30" r="55">
      <c r="A55" s="30" t="n"/>
      <c r="B55" s="95" t="inlineStr">
        <is>
          <t>Efficiency System
系统效率</t>
        </is>
      </c>
      <c r="C55" s="96" t="n"/>
      <c r="D55" s="96" t="n"/>
      <c r="E55" s="134" t="n"/>
      <c r="F55" s="135" t="inlineStr">
        <is>
          <t>[%]</t>
        </is>
      </c>
      <c r="G55" s="133">
        <f>G28/G34</f>
        <v/>
      </c>
      <c r="H55" s="133">
        <f>H28/H34</f>
        <v/>
      </c>
      <c r="I55" s="133">
        <f>I28/I34</f>
        <v/>
      </c>
      <c r="J55" s="133">
        <f>J28/J34</f>
        <v/>
      </c>
      <c r="K55" s="133">
        <f>K28/K34</f>
        <v/>
      </c>
      <c r="L55" s="133">
        <f>L28/L34</f>
        <v/>
      </c>
      <c r="M55" s="133">
        <f>M28/M34</f>
        <v/>
      </c>
      <c r="N55" s="133">
        <f>N28/N34</f>
        <v/>
      </c>
      <c r="O55" s="133">
        <f>O28/O34</f>
        <v/>
      </c>
      <c r="P55" s="133">
        <f>P28/P34</f>
        <v/>
      </c>
      <c r="Q55" s="133">
        <f>Q28/Q34</f>
        <v/>
      </c>
      <c r="R55" s="133">
        <f>R28/R34</f>
        <v/>
      </c>
      <c r="S55" s="133">
        <f>S28/S34</f>
        <v/>
      </c>
      <c r="T55" s="133">
        <f>T28/T34</f>
        <v/>
      </c>
      <c r="U55" s="133">
        <f>U28/U34</f>
        <v/>
      </c>
      <c r="V55" s="133">
        <f>V28/V34</f>
        <v/>
      </c>
      <c r="W55" s="133">
        <f>W28/W34</f>
        <v/>
      </c>
      <c r="X55" s="133">
        <f>X28/X34</f>
        <v/>
      </c>
      <c r="Y55" s="133">
        <f>Y28/Y34</f>
        <v/>
      </c>
      <c r="Z55" s="133">
        <f>Z28/Z34</f>
        <v/>
      </c>
      <c r="AA55" s="138" t="n"/>
      <c r="AB55" s="138" t="n"/>
    </row>
    <row r="56">
      <c r="A56" s="97" t="n"/>
      <c r="B56" s="97" t="n"/>
      <c r="C56" s="97" t="n"/>
      <c r="D56" s="97" t="n"/>
      <c r="E56" s="97" t="n"/>
      <c r="F56" s="97" t="n"/>
      <c r="G56" s="97" t="n"/>
      <c r="H56" s="97" t="n"/>
      <c r="I56" s="97" t="n"/>
      <c r="J56" s="97" t="n"/>
      <c r="K56" s="138" t="n"/>
      <c r="L56" s="138" t="n"/>
      <c r="M56" s="138" t="n"/>
      <c r="N56" s="138" t="n"/>
      <c r="O56" s="138" t="n"/>
      <c r="P56" s="138" t="n"/>
      <c r="Q56" s="138" t="n"/>
      <c r="R56" s="138" t="n"/>
      <c r="S56" s="138" t="n"/>
      <c r="T56" s="138" t="n"/>
      <c r="U56" s="138" t="n"/>
      <c r="V56" s="138" t="n"/>
      <c r="W56" s="138" t="n"/>
      <c r="X56" s="138" t="n"/>
      <c r="Y56" s="138" t="n"/>
      <c r="Z56" s="138" t="n"/>
      <c r="AA56" s="138" t="n"/>
      <c r="AB56" s="138" t="n"/>
    </row>
    <row r="57">
      <c r="A57" s="98" t="inlineStr">
        <is>
          <t>Test Propose</t>
        </is>
      </c>
      <c r="B57" s="98" t="n"/>
      <c r="C57" s="98" t="n"/>
      <c r="D57" s="98" t="n"/>
      <c r="E57" s="98" t="n"/>
      <c r="F57" s="98" t="n"/>
      <c r="G57" s="98" t="n"/>
      <c r="H57" s="98" t="n"/>
      <c r="I57" s="98" t="n"/>
      <c r="J57" s="98" t="n"/>
      <c r="K57" s="138" t="n"/>
      <c r="L57" s="138" t="n"/>
      <c r="M57" s="138" t="n"/>
      <c r="N57" s="138" t="n"/>
      <c r="O57" s="138" t="n"/>
      <c r="P57" s="138" t="n"/>
      <c r="Q57" s="138" t="n"/>
      <c r="R57" s="138" t="n"/>
      <c r="S57" s="138" t="n"/>
      <c r="T57" s="138" t="n"/>
      <c r="U57" s="138" t="n"/>
      <c r="V57" s="138" t="n"/>
      <c r="W57" s="138" t="n"/>
      <c r="X57" s="138" t="n"/>
      <c r="Y57" s="138" t="n"/>
      <c r="Z57" s="138" t="n"/>
      <c r="AA57" s="138" t="n"/>
      <c r="AB57" s="138" t="n"/>
    </row>
    <row customHeight="1" ht="30" r="58">
      <c r="A58" s="99" t="inlineStr">
        <is>
          <t>The purpose of this test is to verify the max. motor efficiency.
目的是要验证最大的电机效率。</t>
        </is>
      </c>
      <c r="B58" s="36" t="n"/>
      <c r="C58" s="36" t="n"/>
      <c r="D58" s="36" t="n"/>
      <c r="E58" s="36" t="n"/>
      <c r="F58" s="36" t="n"/>
      <c r="G58" s="36" t="n"/>
      <c r="H58" s="36" t="n"/>
      <c r="I58" s="36" t="n"/>
      <c r="J58" s="13" t="n"/>
      <c r="K58" s="138" t="n"/>
      <c r="L58" s="138" t="n"/>
      <c r="M58" s="138" t="n"/>
      <c r="N58" s="138" t="n"/>
      <c r="O58" s="138" t="n"/>
      <c r="P58" s="138" t="n"/>
      <c r="Q58" s="138" t="n"/>
      <c r="R58" s="138" t="n"/>
      <c r="S58" s="138" t="n"/>
      <c r="T58" s="138" t="n"/>
      <c r="U58" s="138" t="n"/>
      <c r="V58" s="138" t="n"/>
      <c r="W58" s="138" t="n"/>
      <c r="X58" s="138" t="n"/>
      <c r="Y58" s="138" t="n"/>
      <c r="Z58" s="138" t="n"/>
      <c r="AA58" s="138" t="n"/>
      <c r="AB58" s="138" t="n"/>
    </row>
    <row r="59">
      <c r="A59" s="53" t="n"/>
      <c r="B59" s="54" t="inlineStr">
        <is>
          <t>Automatic calculate
自动计算</t>
        </is>
      </c>
    </row>
    <row r="60"/>
  </sheetData>
  <mergeCells count="74">
    <mergeCell ref="D1:P1"/>
    <mergeCell ref="D2:P2"/>
    <mergeCell ref="A3:Z3"/>
    <mergeCell ref="A4:F4"/>
    <mergeCell ref="B5:E5"/>
    <mergeCell ref="G5:J5"/>
    <mergeCell ref="K5:N5"/>
    <mergeCell ref="O5:R5"/>
    <mergeCell ref="S5:V5"/>
    <mergeCell ref="W5:Z5"/>
    <mergeCell ref="B6:E6"/>
    <mergeCell ref="B7:F7"/>
    <mergeCell ref="B8:F8"/>
    <mergeCell ref="B9:E9"/>
    <mergeCell ref="A10:Z10"/>
    <mergeCell ref="B11:E11"/>
    <mergeCell ref="B12:E12"/>
    <mergeCell ref="B13:E13"/>
    <mergeCell ref="B14:E14"/>
    <mergeCell ref="B15:E15"/>
    <mergeCell ref="B16:E16"/>
    <mergeCell ref="B17:E17"/>
    <mergeCell ref="B18:E18"/>
    <mergeCell ref="B19:E19"/>
    <mergeCell ref="A20:Z20"/>
    <mergeCell ref="B21:E21"/>
    <mergeCell ref="G21:Z21"/>
    <mergeCell ref="B22:E22"/>
    <mergeCell ref="G22:Z22"/>
    <mergeCell ref="B23:E23"/>
    <mergeCell ref="B24:E24"/>
    <mergeCell ref="B25:E25"/>
    <mergeCell ref="B26:E26"/>
    <mergeCell ref="B27:E27"/>
    <mergeCell ref="B28:E28"/>
    <mergeCell ref="B29:E29"/>
    <mergeCell ref="G29:Z29"/>
    <mergeCell ref="B30:E30"/>
    <mergeCell ref="G30:Z30"/>
    <mergeCell ref="A31:Z31"/>
    <mergeCell ref="B32:E32"/>
    <mergeCell ref="B33:E33"/>
    <mergeCell ref="B34:E34"/>
    <mergeCell ref="A35:Z35"/>
    <mergeCell ref="B36:E36"/>
    <mergeCell ref="B37:E37"/>
    <mergeCell ref="B38:E38"/>
    <mergeCell ref="B39:E39"/>
    <mergeCell ref="B40:E40"/>
    <mergeCell ref="B41:E41"/>
    <mergeCell ref="B42:E42"/>
    <mergeCell ref="B43:E43"/>
    <mergeCell ref="A44:Z44"/>
    <mergeCell ref="B45:E45"/>
    <mergeCell ref="G45:Z45"/>
    <mergeCell ref="G46:Z46"/>
    <mergeCell ref="B48:E48"/>
    <mergeCell ref="B49:E49"/>
    <mergeCell ref="B50:E50"/>
    <mergeCell ref="B51:E51"/>
    <mergeCell ref="B52:E52"/>
    <mergeCell ref="B53:E53"/>
    <mergeCell ref="B54:E54"/>
    <mergeCell ref="B55:E55"/>
    <mergeCell ref="A58:J58"/>
    <mergeCell ref="A5:A9"/>
    <mergeCell ref="A11:A19"/>
    <mergeCell ref="A21:A30"/>
    <mergeCell ref="A32:A34"/>
    <mergeCell ref="A36:A43"/>
    <mergeCell ref="A45:A55"/>
    <mergeCell ref="A59:A60"/>
    <mergeCell ref="A1:C2"/>
    <mergeCell ref="B59:C60"/>
  </mergeCells>
  <conditionalFormatting sqref="A4">
    <cfRule dxfId="0" priority="63" type="expression">
      <formula>'/MAGELEC/Motor Test Files/M21R/A04-004/[M21R Design Verification Test Table Rev 21thJune.xlsx]Peak Curve'!#REF!="FAILED"</formula>
    </cfRule>
  </conditionalFormatting>
  <conditionalFormatting sqref="G4:V4">
    <cfRule dxfId="0" priority="64" type="expression">
      <formula>'/MAGELEC/Motor Test Files/M21R/A04-004/[M21R Design Verification Test Table Rev 21thJune.xlsx]Peak Curve'!#REF!="FAILED"</formula>
    </cfRule>
  </conditionalFormatting>
  <conditionalFormatting sqref="W4:Z4">
    <cfRule dxfId="0" priority="14" type="expression">
      <formula>'/MAGELEC/Motor Test Files/M21R/A04-004/[M21R Design Verification Test Table Rev 21thJune.xlsx]Peak Curve'!#REF!="FAILED"</formula>
    </cfRule>
  </conditionalFormatting>
  <conditionalFormatting sqref="K9:N9">
    <cfRule dxfId="0" priority="41" type="expression">
      <formula>#REF!="FAILED"</formula>
    </cfRule>
  </conditionalFormatting>
  <conditionalFormatting sqref="O9:R9">
    <cfRule dxfId="0" priority="30" type="expression">
      <formula>#REF!="FAILED"</formula>
    </cfRule>
  </conditionalFormatting>
  <conditionalFormatting sqref="S9:V9">
    <cfRule dxfId="0" priority="19" type="expression">
      <formula>#REF!="FAILED"</formula>
    </cfRule>
  </conditionalFormatting>
  <conditionalFormatting sqref="W9:Z9">
    <cfRule dxfId="0" priority="6" type="expression">
      <formula>#REF!="FAILED"</formula>
    </cfRule>
  </conditionalFormatting>
  <conditionalFormatting sqref="G13:J13">
    <cfRule dxfId="0" priority="58" type="expression">
      <formula>#REF!="FAILED"</formula>
    </cfRule>
  </conditionalFormatting>
  <conditionalFormatting sqref="K13:N13">
    <cfRule dxfId="0" priority="42" type="expression">
      <formula>#REF!="FAILED"</formula>
    </cfRule>
  </conditionalFormatting>
  <conditionalFormatting sqref="O13:R13">
    <cfRule dxfId="0" priority="31" type="expression">
      <formula>#REF!="FAILED"</formula>
    </cfRule>
  </conditionalFormatting>
  <conditionalFormatting sqref="S13:V13">
    <cfRule dxfId="0" priority="20" type="expression">
      <formula>#REF!="FAILED"</formula>
    </cfRule>
  </conditionalFormatting>
  <conditionalFormatting sqref="W13:Z13">
    <cfRule dxfId="0" priority="7" type="expression">
      <formula>#REF!="FAILED"</formula>
    </cfRule>
  </conditionalFormatting>
  <conditionalFormatting sqref="G15:Z15">
    <cfRule dxfId="0" priority="60" type="expression">
      <formula>#REF!="FAILED"</formula>
    </cfRule>
  </conditionalFormatting>
  <conditionalFormatting sqref="O16:R16">
    <cfRule dxfId="0" priority="32" type="expression">
      <formula>#REF!="FAILED"</formula>
    </cfRule>
  </conditionalFormatting>
  <conditionalFormatting sqref="S16:V16">
    <cfRule dxfId="0" priority="21" type="expression">
      <formula>#REF!="FAILED"</formula>
    </cfRule>
  </conditionalFormatting>
  <conditionalFormatting sqref="W16:Z16">
    <cfRule dxfId="0" priority="8" type="expression">
      <formula>#REF!="FAILED"</formula>
    </cfRule>
  </conditionalFormatting>
  <conditionalFormatting sqref="W19:Z19">
    <cfRule dxfId="0" priority="12" type="expression">
      <formula>#REF!="FAILED"</formula>
    </cfRule>
  </conditionalFormatting>
  <conditionalFormatting sqref="G45">
    <cfRule dxfId="0" priority="53" type="expression">
      <formula>#REF!="FAILED"</formula>
    </cfRule>
  </conditionalFormatting>
  <conditionalFormatting sqref="G46">
    <cfRule dxfId="0" priority="54" type="expression">
      <formula>#REF!="FAILED"</formula>
    </cfRule>
  </conditionalFormatting>
  <conditionalFormatting sqref="K16:N16 G7:Z7">
    <cfRule dxfId="0" priority="43" type="expression">
      <formula>#REF!="FAILED"</formula>
    </cfRule>
  </conditionalFormatting>
  <conditionalFormatting sqref="G9:J9 G8:Z8">
    <cfRule dxfId="0" priority="56" type="expression">
      <formula>#REF!="FAILED"</formula>
    </cfRule>
  </conditionalFormatting>
  <conditionalFormatting sqref="G21:G22 G32:Z34 G26:V28 G25:Z25 G36:Z43 G12:Z12 G24:V24">
    <cfRule dxfId="0" priority="62" type="expression">
      <formula>#REF!="FAILED"</formula>
    </cfRule>
  </conditionalFormatting>
  <conditionalFormatting sqref="G16:J16 G19:V19 G17:Z18">
    <cfRule dxfId="0" priority="59" type="expression">
      <formula>#REF!="FAILED"</formula>
    </cfRule>
  </conditionalFormatting>
  <conditionalFormatting sqref="W26:Z28 W24:Z24">
    <cfRule dxfId="0" priority="13" type="expression">
      <formula>#REF!="FAILED"</formula>
    </cfRule>
  </conditionalFormatting>
  <conditionalFormatting sqref="G47:J47 G49:J49 G48:Z48 G50:Z51">
    <cfRule dxfId="0" priority="55" type="expression">
      <formula>#REF!="FAILED"</formula>
    </cfRule>
  </conditionalFormatting>
  <conditionalFormatting sqref="K47:N47 K49:N49">
    <cfRule dxfId="0" priority="40" type="expression">
      <formula>#REF!="FAILED"</formula>
    </cfRule>
  </conditionalFormatting>
  <conditionalFormatting sqref="O47:R47 O49:R49">
    <cfRule dxfId="0" priority="29" type="expression">
      <formula>#REF!="FAILED"</formula>
    </cfRule>
  </conditionalFormatting>
  <conditionalFormatting sqref="S47:V47 S49:V49">
    <cfRule dxfId="0" priority="18" type="expression">
      <formula>#REF!="FAILED"</formula>
    </cfRule>
  </conditionalFormatting>
  <conditionalFormatting sqref="W47:Z47 W49:Z49">
    <cfRule dxfId="0" priority="5" type="expression">
      <formula>#REF!="FAILED"</formula>
    </cfRule>
  </conditionalFormatting>
  <conditionalFormatting sqref="G52:Z53">
    <cfRule priority="1" type="colorScale">
      <colorScale>
        <cfvo type="min"/>
        <cfvo type="percentile" val="50"/>
        <cfvo type="max"/>
        <color rgb="FF63BE7B"/>
        <color rgb="FFFFEB84"/>
        <color rgb="FFF8696B"/>
      </colorScale>
    </cfRule>
  </conditionalFormatting>
  <dataValidations count="2">
    <dataValidation allowBlank="0" showErrorMessage="1" showInputMessage="1" sqref="G7:Z7" type="list">
      <formula1>"Traction &amp; Torque主转扭矩, Traction &amp; Speed主转速度,Generation &amp; Torque发电扭矩, Generation &amp; Speed发电速度"</formula1>
    </dataValidation>
    <dataValidation allowBlank="0" showErrorMessage="1" showInputMessage="1" sqref="G8:Z8" type="list">
      <formula1>"Positive正转, Negative反转"</formula1>
    </dataValidation>
  </dataValidations>
  <pageMargins bottom="0.3" footer="0.3" header="0.3" left="0.3" right="0.3" top="0.3"/>
  <pageSetup orientation="landscape"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P590"/>
  <sheetViews>
    <sheetView showGridLines="0" topLeftCell="A4" workbookViewId="0">
      <selection activeCell="K19" sqref="K19"/>
    </sheetView>
  </sheetViews>
  <sheetFormatPr baseColWidth="8" defaultColWidth="9.14423076923077" defaultRowHeight="16.8"/>
  <cols>
    <col customWidth="1" max="1" min="1" style="2" width="8.56730769230769"/>
    <col customWidth="1" max="5" min="2" style="2" width="10.5673076923077"/>
    <col customWidth="1" max="6" min="6" style="2" width="10.8557692307692"/>
    <col customWidth="1" max="7" min="7" style="2" width="11.5673076923077"/>
    <col customWidth="1" max="16384" min="8" style="2" width="9.14423076923077"/>
  </cols>
  <sheetData>
    <row customHeight="1" ht="30" r="1">
      <c r="A1" s="34" t="n"/>
      <c r="B1" s="24" t="n"/>
      <c r="C1" s="25" t="n"/>
      <c r="D1" s="6" t="inlineStr">
        <is>
          <t>PRODUCT ACCEPTANCE TEST - High Speed</t>
        </is>
      </c>
      <c r="E1" s="24" t="n"/>
      <c r="F1" s="24" t="n"/>
      <c r="G1" s="24" t="n"/>
      <c r="H1" s="24" t="n"/>
      <c r="I1" s="24" t="n"/>
      <c r="J1" s="24" t="n"/>
      <c r="K1" s="24" t="n"/>
      <c r="L1" s="24" t="n"/>
      <c r="M1" s="24" t="n"/>
      <c r="N1" s="24" t="n"/>
      <c r="O1" s="24" t="n"/>
      <c r="P1" s="25" t="n"/>
    </row>
    <row customHeight="1" ht="30" r="2">
      <c r="A2" s="27" t="n"/>
      <c r="B2" s="28" t="n"/>
      <c r="C2" s="29" t="n"/>
      <c r="D2" s="10">
        <f>'DUT Description'!D6&amp;" - "&amp;'DUT Description'!E6</f>
        <v/>
      </c>
      <c r="E2" s="28" t="n"/>
      <c r="F2" s="28" t="n"/>
      <c r="G2" s="28" t="n"/>
      <c r="H2" s="28" t="n"/>
      <c r="I2" s="28" t="n"/>
      <c r="J2" s="28" t="n"/>
      <c r="K2" s="28" t="n"/>
      <c r="L2" s="28" t="n"/>
      <c r="M2" s="28" t="n"/>
      <c r="N2" s="28" t="n"/>
      <c r="O2" s="28" t="n"/>
      <c r="P2" s="29" t="n"/>
    </row>
    <row customFormat="1" customHeight="1" ht="30" r="3" s="45">
      <c r="A3" s="46" t="inlineStr">
        <is>
          <t>Item 11. High Speed Test
             高速测试</t>
        </is>
      </c>
      <c r="G3" s="55" t="n"/>
      <c r="H3" s="55" t="n"/>
      <c r="I3" s="55" t="n"/>
    </row>
    <row customHeight="1" ht="20.1" r="5">
      <c r="A5" s="47" t="inlineStr">
        <is>
          <t>Description</t>
        </is>
      </c>
      <c r="B5" s="36" t="n"/>
      <c r="C5" s="36" t="n"/>
      <c r="D5" s="13" t="n"/>
      <c r="E5" s="56" t="n"/>
      <c r="F5" s="47" t="inlineStr">
        <is>
          <t>Data 1</t>
        </is>
      </c>
      <c r="G5" s="13" t="n"/>
      <c r="I5" s="68" t="inlineStr">
        <is>
          <t>Time</t>
        </is>
      </c>
      <c r="J5" s="68" t="inlineStr">
        <is>
          <t>RTD1</t>
        </is>
      </c>
      <c r="K5" s="68" t="inlineStr">
        <is>
          <t>RTD2</t>
        </is>
      </c>
    </row>
    <row customHeight="1" ht="30" r="6">
      <c r="A6" s="48" t="inlineStr">
        <is>
          <t>Test Conditions
测试条件</t>
        </is>
      </c>
      <c r="B6" s="49" t="inlineStr">
        <is>
          <t>D.U.T. control mode
被测电机控制模式</t>
        </is>
      </c>
      <c r="C6" s="36" t="n"/>
      <c r="D6" s="36" t="n"/>
      <c r="E6" s="13" t="n"/>
      <c r="F6" s="57" t="inlineStr">
        <is>
          <t>Disable 禁用</t>
        </is>
      </c>
      <c r="G6" s="13" t="n"/>
      <c r="I6" s="69" t="n">
        <v>-7</v>
      </c>
      <c r="J6" s="63" t="n"/>
      <c r="K6" s="63" t="n"/>
    </row>
    <row customHeight="1" ht="30" r="7">
      <c r="A7" s="26" t="n"/>
      <c r="B7" s="49" t="inlineStr">
        <is>
          <t>Rotating Direction
旋转方向</t>
        </is>
      </c>
      <c r="C7" s="36" t="n"/>
      <c r="D7" s="36" t="n"/>
      <c r="E7" s="13" t="n"/>
      <c r="F7" s="57" t="inlineStr">
        <is>
          <t>Positive正转</t>
        </is>
      </c>
      <c r="G7" s="13" t="n"/>
      <c r="I7" s="69" t="n">
        <v>1.157407407407407e-05</v>
      </c>
      <c r="J7" s="63" t="n"/>
      <c r="K7" s="63" t="n"/>
    </row>
    <row customHeight="1" ht="30" r="8">
      <c r="A8" s="26" t="n"/>
      <c r="B8" s="50" t="inlineStr">
        <is>
          <t>Target test speed
测试速度目标</t>
        </is>
      </c>
      <c r="C8" s="36" t="n"/>
      <c r="D8" s="13" t="n"/>
      <c r="E8" s="58" t="inlineStr">
        <is>
          <t>[rpm]</t>
        </is>
      </c>
      <c r="F8" s="59" t="n">
        <v>12000</v>
      </c>
      <c r="G8" s="13" t="n"/>
      <c r="I8" s="69" t="n">
        <v>2.314814814814815e-05</v>
      </c>
      <c r="J8" s="63" t="n"/>
      <c r="K8" s="63" t="n"/>
    </row>
    <row customHeight="1" ht="30" r="9">
      <c r="A9" s="26" t="n"/>
      <c r="B9" s="50" t="inlineStr">
        <is>
          <t>Running Time 
运行时间</t>
        </is>
      </c>
      <c r="C9" s="36" t="n"/>
      <c r="D9" s="13" t="n"/>
      <c r="E9" s="58" t="inlineStr">
        <is>
          <t>[mins]</t>
        </is>
      </c>
      <c r="F9" s="666" t="n">
        <v>5</v>
      </c>
      <c r="G9" s="13" t="n"/>
      <c r="I9" s="69" t="n">
        <v>3.472222222222222e-05</v>
      </c>
      <c r="J9" s="63" t="n"/>
      <c r="K9" s="63" t="n"/>
      <c r="M9" s="70" t="n"/>
    </row>
    <row customHeight="1" ht="30" r="10">
      <c r="A10" s="26" t="n"/>
      <c r="B10" s="50" t="inlineStr">
        <is>
          <t>DUT Coolant Inlet Temperature 
被测电机</t>
        </is>
      </c>
      <c r="C10" s="36" t="n"/>
      <c r="D10" s="13" t="n"/>
      <c r="E10" s="58" t="inlineStr">
        <is>
          <t>[°C]</t>
        </is>
      </c>
      <c r="F10" s="61" t="n">
        <v>20</v>
      </c>
      <c r="G10" s="13" t="n"/>
      <c r="I10" s="69" t="n">
        <v>4.629629629629629e-05</v>
      </c>
      <c r="J10" s="63" t="n"/>
      <c r="K10" s="63" t="n"/>
    </row>
    <row customHeight="1" ht="30" r="11">
      <c r="A11" s="26" t="n"/>
      <c r="B11" s="50" t="inlineStr">
        <is>
          <t>DUT Coolant Flow Rate 
被测电机流量</t>
        </is>
      </c>
      <c r="C11" s="36" t="n"/>
      <c r="D11" s="13" t="n"/>
      <c r="E11" s="58" t="inlineStr">
        <is>
          <t>[LPM]</t>
        </is>
      </c>
      <c r="F11" s="61" t="n">
        <v>8</v>
      </c>
      <c r="G11" s="13" t="n"/>
      <c r="I11" s="69" t="n">
        <v>5.787037037037037e-05</v>
      </c>
      <c r="J11" s="63" t="n"/>
      <c r="K11" s="63" t="n"/>
    </row>
    <row customHeight="1" ht="30" r="12">
      <c r="A12" s="30" t="n"/>
      <c r="B12" s="50" t="inlineStr">
        <is>
          <t>Winding Temperature @Starting
测试开始时的绕线温度</t>
        </is>
      </c>
      <c r="C12" s="36" t="n"/>
      <c r="D12" s="13" t="n"/>
      <c r="E12" s="58" t="inlineStr">
        <is>
          <t>[°C]</t>
        </is>
      </c>
      <c r="F12" s="61" t="inlineStr">
        <is>
          <t>35 ± 2</t>
        </is>
      </c>
      <c r="G12" s="13" t="n"/>
      <c r="I12" s="69" t="n">
        <v>6.944444444444444e-05</v>
      </c>
      <c r="J12" s="63" t="n"/>
      <c r="K12" s="63" t="n"/>
    </row>
    <row customHeight="1" ht="30" r="13">
      <c r="A13" s="48" t="inlineStr">
        <is>
          <t>Test Result
测试结果</t>
        </is>
      </c>
      <c r="B13" s="50" t="inlineStr">
        <is>
          <t>Winding code
定子温度传感器代码</t>
        </is>
      </c>
      <c r="C13" s="36" t="n"/>
      <c r="D13" s="36" t="n"/>
      <c r="E13" s="13" t="n"/>
      <c r="F13" s="62" t="inlineStr">
        <is>
          <t>RTD1</t>
        </is>
      </c>
      <c r="G13" s="62" t="inlineStr">
        <is>
          <t>RTD2</t>
        </is>
      </c>
      <c r="I13" s="69" t="n">
        <v>8.101851851851852e-05</v>
      </c>
      <c r="J13" s="63" t="n"/>
      <c r="K13" s="63" t="n"/>
    </row>
    <row customHeight="1" ht="30" r="14">
      <c r="A14" s="26" t="n"/>
      <c r="B14" s="50" t="inlineStr">
        <is>
          <t>Starting temperature
开始温度</t>
        </is>
      </c>
      <c r="C14" s="36" t="n"/>
      <c r="D14" s="13" t="n"/>
      <c r="E14" s="58" t="inlineStr">
        <is>
          <t>[°C]</t>
        </is>
      </c>
      <c r="F14" s="63" t="n"/>
      <c r="G14" s="63" t="n"/>
      <c r="I14" s="69" t="n">
        <v>9.259259259259259e-05</v>
      </c>
      <c r="J14" s="63" t="n"/>
      <c r="K14" s="63" t="n"/>
    </row>
    <row customHeight="1" ht="30" r="15">
      <c r="A15" s="26" t="n"/>
      <c r="B15" s="50" t="inlineStr">
        <is>
          <t>Real Speed
实际速度</t>
        </is>
      </c>
      <c r="C15" s="36" t="n"/>
      <c r="D15" s="13" t="n"/>
      <c r="E15" s="58" t="inlineStr">
        <is>
          <t>[rpm]</t>
        </is>
      </c>
      <c r="F15" s="64" t="n">
        <v>12000</v>
      </c>
      <c r="G15" s="13" t="n"/>
      <c r="I15" s="69" t="n">
        <v>0.0001041666666666667</v>
      </c>
      <c r="J15" s="63" t="n"/>
      <c r="K15" s="63" t="n"/>
    </row>
    <row customHeight="1" ht="30" r="16">
      <c r="A16" s="26" t="n"/>
      <c r="B16" s="50" t="inlineStr">
        <is>
          <t>Real Speed 
实际角速度</t>
        </is>
      </c>
      <c r="C16" s="36" t="n"/>
      <c r="D16" s="13" t="n"/>
      <c r="E16" s="58" t="inlineStr">
        <is>
          <t>[rad/s]</t>
        </is>
      </c>
      <c r="F16" s="65">
        <f>F15/60*2*PI()</f>
        <v/>
      </c>
      <c r="G16" s="13" t="n"/>
      <c r="I16" s="69" t="n">
        <v>0.0001157407407407407</v>
      </c>
      <c r="J16" s="63" t="n"/>
      <c r="K16" s="63" t="n"/>
    </row>
    <row customHeight="1" ht="30" r="17">
      <c r="A17" s="26" t="n"/>
      <c r="B17" s="50" t="inlineStr">
        <is>
          <t>Frequency 
频率</t>
        </is>
      </c>
      <c r="C17" s="36" t="n"/>
      <c r="D17" s="13" t="n"/>
      <c r="E17" s="58" t="inlineStr">
        <is>
          <t>[Hz]</t>
        </is>
      </c>
      <c r="F17" s="656">
        <f>F15*'DUT Description'!D8/60/2</f>
        <v/>
      </c>
      <c r="G17" s="13" t="n"/>
      <c r="I17" s="69" t="n">
        <v>0.0001273148148148148</v>
      </c>
      <c r="J17" s="63" t="n"/>
      <c r="K17" s="63" t="n"/>
    </row>
    <row customHeight="1" ht="30" r="18">
      <c r="A18" s="26" t="n"/>
      <c r="B18" s="50" t="inlineStr">
        <is>
          <t>Torque Measurement
扭矩测量值</t>
        </is>
      </c>
      <c r="C18" s="36" t="n"/>
      <c r="D18" s="13" t="n"/>
      <c r="E18" s="58" t="inlineStr">
        <is>
          <t>[Nm]</t>
        </is>
      </c>
      <c r="F18" s="656" t="n">
        <v>0.28</v>
      </c>
      <c r="G18" s="13" t="n"/>
      <c r="I18" s="69" t="n">
        <v>0.0001388888888888889</v>
      </c>
      <c r="J18" s="63" t="n"/>
      <c r="K18" s="63" t="n"/>
    </row>
    <row customHeight="1" ht="30" r="19">
      <c r="A19" s="26" t="n"/>
      <c r="B19" s="50" t="inlineStr">
        <is>
          <t>Motor Power Loss 
电机功率损失</t>
        </is>
      </c>
      <c r="C19" s="36" t="n"/>
      <c r="D19" s="13" t="n"/>
      <c r="E19" s="58" t="inlineStr">
        <is>
          <t>[W]</t>
        </is>
      </c>
      <c r="F19" s="656">
        <f>F15*F18*2*PI()/60</f>
        <v/>
      </c>
      <c r="G19" s="13" t="n"/>
      <c r="I19" s="69" t="n">
        <v>0.000150462962962963</v>
      </c>
      <c r="J19" s="63" t="n"/>
      <c r="K19" s="63" t="n"/>
    </row>
    <row customHeight="1" ht="30" r="20">
      <c r="A20" s="26" t="n"/>
      <c r="B20" s="50" t="inlineStr">
        <is>
          <t>Winding Temperature @5mins
5分钟时的绕线温度</t>
        </is>
      </c>
      <c r="C20" s="36" t="n"/>
      <c r="D20" s="13" t="n"/>
      <c r="E20" s="58" t="inlineStr">
        <is>
          <t>[°C]</t>
        </is>
      </c>
      <c r="F20" s="63" t="n"/>
      <c r="G20" s="63" t="n"/>
      <c r="I20" s="69" t="n">
        <v>0.000162037037037037</v>
      </c>
      <c r="J20" s="63" t="n"/>
      <c r="K20" s="63" t="n"/>
    </row>
    <row customHeight="1" ht="30" r="21">
      <c r="A21" s="30" t="n"/>
      <c r="B21" s="49" t="inlineStr">
        <is>
          <t>Result [Pass/Failure]
结果</t>
        </is>
      </c>
      <c r="C21" s="36" t="n"/>
      <c r="D21" s="36" t="n"/>
      <c r="E21" s="13" t="n"/>
      <c r="F21" s="67" t="inlineStr">
        <is>
          <t>PASS</t>
        </is>
      </c>
      <c r="G21" s="13" t="n"/>
      <c r="I21" s="69" t="n">
        <v>0.0001736111111111111</v>
      </c>
      <c r="J21" s="63" t="n"/>
      <c r="K21" s="63" t="n"/>
    </row>
    <row customHeight="1" ht="20.1" r="22">
      <c r="I22" s="69" t="n">
        <v>0.0001851851851851852</v>
      </c>
      <c r="J22" s="63" t="n"/>
      <c r="K22" s="63" t="n"/>
    </row>
    <row r="23">
      <c r="A23" s="51" t="inlineStr">
        <is>
          <t>Test Propose</t>
        </is>
      </c>
      <c r="I23" s="69" t="n">
        <v>0.0001967592592592593</v>
      </c>
      <c r="J23" s="63" t="n"/>
      <c r="K23" s="63" t="n"/>
    </row>
    <row r="24">
      <c r="A24" s="52" t="inlineStr">
        <is>
          <t>the purpose of this test is to check motor mechanical part when spin in high speed.
1. check rotating part assembly. e.g.bearing, rotor…
2. check no load loss in high speed, pay attention on winding temperature of each stator after the testing.</t>
        </is>
      </c>
      <c r="B24" s="36" t="n"/>
      <c r="C24" s="36" t="n"/>
      <c r="D24" s="36" t="n"/>
      <c r="E24" s="36" t="n"/>
      <c r="F24" s="13" t="n"/>
      <c r="I24" s="69" t="n">
        <v>0.0002083333333333333</v>
      </c>
      <c r="J24" s="63" t="n"/>
      <c r="K24" s="63" t="n"/>
    </row>
    <row r="25">
      <c r="A25" s="53" t="n"/>
      <c r="B25" s="54" t="inlineStr">
        <is>
          <t>Automatic calculate
自动计算</t>
        </is>
      </c>
      <c r="I25" s="69" t="n">
        <v>0.0002199074074074074</v>
      </c>
      <c r="J25" s="63" t="n"/>
      <c r="K25" s="63" t="n"/>
    </row>
    <row r="26">
      <c r="I26" s="69" t="n">
        <v>0.0002314814814814815</v>
      </c>
      <c r="J26" s="63" t="n"/>
      <c r="K26" s="63" t="n"/>
    </row>
    <row r="27">
      <c r="I27" s="69" t="n">
        <v>0.0002430555555555555</v>
      </c>
      <c r="J27" s="63" t="n"/>
      <c r="K27" s="63" t="n"/>
    </row>
    <row r="28">
      <c r="I28" s="69" t="n">
        <v>0.0002546296296296296</v>
      </c>
      <c r="J28" s="63" t="n"/>
      <c r="K28" s="63" t="n"/>
    </row>
    <row r="29">
      <c r="I29" s="69" t="n">
        <v>0.0002662037037037037</v>
      </c>
      <c r="J29" s="63" t="n"/>
      <c r="K29" s="63" t="n"/>
    </row>
    <row r="30">
      <c r="I30" s="69" t="n">
        <v>0.0002777777777777778</v>
      </c>
      <c r="J30" s="63" t="n"/>
      <c r="K30" s="63" t="n"/>
    </row>
    <row r="31">
      <c r="I31" s="69" t="n">
        <v>0.0002893518518518518</v>
      </c>
      <c r="J31" s="63" t="n"/>
      <c r="K31" s="63" t="n"/>
    </row>
    <row r="32">
      <c r="I32" s="69" t="n">
        <v>0.0003009259259259259</v>
      </c>
      <c r="J32" s="63" t="n"/>
      <c r="K32" s="63" t="n"/>
    </row>
    <row r="33">
      <c r="I33" s="69" t="n">
        <v>0.0003125</v>
      </c>
      <c r="J33" s="63" t="n"/>
      <c r="K33" s="63" t="n"/>
    </row>
    <row r="34">
      <c r="I34" s="69" t="n">
        <v>0.0003240740740740741</v>
      </c>
      <c r="J34" s="63" t="n"/>
      <c r="K34" s="63" t="n"/>
    </row>
    <row r="35">
      <c r="I35" s="69" t="n">
        <v>0.0003356481481481481</v>
      </c>
      <c r="J35" s="63" t="n"/>
      <c r="K35" s="63" t="n"/>
    </row>
    <row r="36">
      <c r="I36" s="69" t="n">
        <v>0.0003472222222222222</v>
      </c>
      <c r="J36" s="63" t="n"/>
      <c r="K36" s="63" t="n"/>
    </row>
    <row r="37">
      <c r="I37" s="69" t="n">
        <v>0.0003587962962962963</v>
      </c>
      <c r="J37" s="63" t="n"/>
      <c r="K37" s="63" t="n"/>
    </row>
    <row r="38">
      <c r="I38" s="69" t="n">
        <v>0.0003703703703703704</v>
      </c>
      <c r="J38" s="63" t="n"/>
      <c r="K38" s="63" t="n"/>
    </row>
    <row r="39">
      <c r="I39" s="69" t="n">
        <v>0.0003819444444444445</v>
      </c>
      <c r="J39" s="63" t="n"/>
      <c r="K39" s="63" t="n"/>
    </row>
    <row r="40">
      <c r="I40" s="69" t="n">
        <v>0.0003935185185185185</v>
      </c>
      <c r="J40" s="63" t="n"/>
      <c r="K40" s="63" t="n"/>
    </row>
    <row r="41">
      <c r="I41" s="69" t="n">
        <v>0.0004050925925925926</v>
      </c>
      <c r="J41" s="63" t="n"/>
      <c r="K41" s="63" t="n"/>
    </row>
    <row r="42">
      <c r="I42" s="69" t="n">
        <v>0.0004166666666666667</v>
      </c>
      <c r="J42" s="63" t="n"/>
      <c r="K42" s="63" t="n"/>
    </row>
    <row r="43">
      <c r="I43" s="69" t="n">
        <v>0.0004282407407407408</v>
      </c>
      <c r="J43" s="63" t="n"/>
      <c r="K43" s="63" t="n"/>
    </row>
    <row r="44">
      <c r="I44" s="69" t="n">
        <v>0.0004398148148148148</v>
      </c>
      <c r="J44" s="63" t="n"/>
      <c r="K44" s="63" t="n"/>
    </row>
    <row r="45">
      <c r="I45" s="69" t="n">
        <v>0.0004513888888888889</v>
      </c>
      <c r="J45" s="63" t="n"/>
      <c r="K45" s="63" t="n"/>
    </row>
    <row r="46">
      <c r="I46" s="69" t="n">
        <v>0.000462962962962963</v>
      </c>
      <c r="J46" s="63" t="n"/>
      <c r="K46" s="63" t="n"/>
    </row>
    <row r="47">
      <c r="I47" s="69" t="n">
        <v>0.000474537037037037</v>
      </c>
      <c r="J47" s="63" t="n"/>
      <c r="K47" s="63" t="n"/>
    </row>
    <row r="48">
      <c r="I48" s="69" t="n">
        <v>0.0004861111111111111</v>
      </c>
      <c r="J48" s="63" t="n"/>
      <c r="K48" s="63" t="n"/>
    </row>
    <row r="49">
      <c r="I49" s="69" t="n">
        <v>0.0004976851851851852</v>
      </c>
      <c r="J49" s="63" t="n"/>
      <c r="K49" s="63" t="n"/>
    </row>
    <row r="50">
      <c r="I50" s="69" t="n">
        <v>0.0005092592592592592</v>
      </c>
      <c r="J50" s="63" t="n"/>
      <c r="K50" s="63" t="n"/>
    </row>
    <row r="51">
      <c r="I51" s="69" t="n">
        <v>0.0005208333333333333</v>
      </c>
      <c r="J51" s="63" t="n"/>
      <c r="K51" s="63" t="n"/>
    </row>
    <row r="52">
      <c r="I52" s="69" t="n">
        <v>0.0005324074074074074</v>
      </c>
      <c r="J52" s="63" t="n"/>
      <c r="K52" s="63" t="n"/>
    </row>
    <row r="53">
      <c r="I53" s="69" t="n">
        <v>0.0005439814814814814</v>
      </c>
      <c r="J53" s="63" t="n"/>
      <c r="K53" s="63" t="n"/>
    </row>
    <row r="54">
      <c r="I54" s="69" t="n">
        <v>0.0005555555555555556</v>
      </c>
      <c r="J54" s="63" t="n"/>
      <c r="K54" s="63" t="n"/>
    </row>
    <row r="55">
      <c r="I55" s="69" t="n">
        <v>0.0005671296296296297</v>
      </c>
      <c r="J55" s="63" t="n"/>
      <c r="K55" s="63" t="n"/>
    </row>
    <row r="56">
      <c r="I56" s="69" t="n">
        <v>0.0005787037037037037</v>
      </c>
      <c r="J56" s="63" t="n"/>
      <c r="K56" s="63" t="n"/>
    </row>
    <row r="57">
      <c r="I57" s="69" t="n">
        <v>0.0005902777777777778</v>
      </c>
      <c r="J57" s="63" t="n"/>
      <c r="K57" s="63" t="n"/>
    </row>
    <row r="58">
      <c r="I58" s="69" t="n">
        <v>0.0006018518518518519</v>
      </c>
      <c r="J58" s="63" t="n"/>
      <c r="K58" s="63" t="n"/>
    </row>
    <row r="59">
      <c r="I59" s="69" t="n">
        <v>0.0006134259259259259</v>
      </c>
      <c r="J59" s="63" t="n"/>
      <c r="K59" s="63" t="n"/>
    </row>
    <row r="60">
      <c r="I60" s="69" t="n">
        <v>0.000625</v>
      </c>
      <c r="J60" s="63" t="n"/>
      <c r="K60" s="63" t="n"/>
    </row>
    <row r="61">
      <c r="I61" s="69" t="n">
        <v>0.0006365740740740741</v>
      </c>
      <c r="J61" s="63" t="n"/>
      <c r="K61" s="63" t="n"/>
    </row>
    <row r="62">
      <c r="I62" s="69" t="n">
        <v>0.0006481481481481481</v>
      </c>
      <c r="J62" s="63" t="n"/>
      <c r="K62" s="63" t="n"/>
    </row>
    <row r="63">
      <c r="I63" s="69" t="n">
        <v>0.0006597222222222222</v>
      </c>
      <c r="J63" s="63" t="n"/>
      <c r="K63" s="63" t="n"/>
    </row>
    <row r="64">
      <c r="I64" s="69" t="n">
        <v>0.0006712962962962962</v>
      </c>
      <c r="J64" s="63" t="n"/>
      <c r="K64" s="63" t="n"/>
    </row>
    <row r="65">
      <c r="I65" s="69" t="n">
        <v>0.0006828703703703704</v>
      </c>
      <c r="J65" s="63" t="n"/>
      <c r="K65" s="63" t="n"/>
    </row>
    <row r="66">
      <c r="I66" s="69" t="n">
        <v>0.0006944444444444445</v>
      </c>
      <c r="J66" s="63" t="n"/>
      <c r="K66" s="63" t="n"/>
    </row>
    <row r="67">
      <c r="I67" s="69" t="n">
        <v>0.0007060185185185185</v>
      </c>
      <c r="J67" s="63" t="n"/>
      <c r="K67" s="63" t="n"/>
    </row>
    <row r="68">
      <c r="I68" s="69" t="n">
        <v>0.0007175925925925926</v>
      </c>
      <c r="J68" s="63" t="n"/>
      <c r="K68" s="63" t="n"/>
    </row>
    <row r="69">
      <c r="I69" s="69" t="n">
        <v>0.0007291666666666667</v>
      </c>
      <c r="J69" s="63" t="n"/>
      <c r="K69" s="63" t="n"/>
    </row>
    <row r="70">
      <c r="I70" s="69" t="n">
        <v>0.0007407407407407407</v>
      </c>
      <c r="J70" s="63" t="n"/>
      <c r="K70" s="63" t="n"/>
    </row>
    <row r="71">
      <c r="I71" s="69" t="n">
        <v>0.0007523148148148148</v>
      </c>
      <c r="J71" s="63" t="n"/>
      <c r="K71" s="63" t="n"/>
    </row>
    <row r="72">
      <c r="I72" s="69" t="n">
        <v>0.0007638888888888889</v>
      </c>
      <c r="J72" s="63" t="n"/>
      <c r="K72" s="63" t="n"/>
    </row>
    <row r="73">
      <c r="I73" s="69" t="n">
        <v>0.0007754629629629629</v>
      </c>
      <c r="J73" s="63" t="n"/>
      <c r="K73" s="63" t="n"/>
    </row>
    <row r="74">
      <c r="I74" s="69" t="n">
        <v>0.000787037037037037</v>
      </c>
      <c r="J74" s="63" t="n"/>
      <c r="K74" s="63" t="n"/>
    </row>
    <row r="75">
      <c r="I75" s="69" t="n">
        <v>0.0007986111111111112</v>
      </c>
      <c r="J75" s="63" t="n"/>
      <c r="K75" s="63" t="n"/>
    </row>
    <row r="76">
      <c r="I76" s="69" t="n">
        <v>0.0008101851851851852</v>
      </c>
      <c r="J76" s="63" t="n"/>
      <c r="K76" s="63" t="n"/>
    </row>
    <row r="77">
      <c r="I77" s="69" t="n">
        <v>0.0008217592592592593</v>
      </c>
      <c r="J77" s="63" t="n"/>
      <c r="K77" s="63" t="n"/>
    </row>
    <row r="78">
      <c r="I78" s="69" t="n">
        <v>0.0008333333333333334</v>
      </c>
      <c r="J78" s="63" t="n"/>
      <c r="K78" s="63" t="n"/>
    </row>
    <row r="79">
      <c r="I79" s="69" t="n">
        <v>0.0008449074074074074</v>
      </c>
      <c r="J79" s="63" t="n"/>
      <c r="K79" s="63" t="n"/>
    </row>
    <row r="80">
      <c r="I80" s="69" t="n">
        <v>0.0008564814814814815</v>
      </c>
      <c r="J80" s="63" t="n"/>
      <c r="K80" s="63" t="n"/>
    </row>
    <row r="81">
      <c r="I81" s="69" t="n">
        <v>0.0008680555555555555</v>
      </c>
      <c r="J81" s="63" t="n"/>
      <c r="K81" s="63" t="n"/>
    </row>
    <row r="82">
      <c r="I82" s="69" t="n">
        <v>0.0008796296296296296</v>
      </c>
      <c r="J82" s="63" t="n"/>
      <c r="K82" s="63" t="n"/>
    </row>
    <row r="83">
      <c r="I83" s="69" t="n">
        <v>0.0008912037037037037</v>
      </c>
      <c r="J83" s="63" t="n"/>
      <c r="K83" s="63" t="n"/>
    </row>
    <row r="84">
      <c r="I84" s="69" t="n">
        <v>0.0009027777777777777</v>
      </c>
      <c r="J84" s="63" t="n"/>
      <c r="K84" s="63" t="n"/>
    </row>
    <row r="85">
      <c r="I85" s="69" t="n">
        <v>0.0009143518518518518</v>
      </c>
      <c r="J85" s="63" t="n"/>
      <c r="K85" s="63" t="n"/>
    </row>
    <row r="86">
      <c r="I86" s="69" t="n">
        <v>0.000925925925925926</v>
      </c>
      <c r="J86" s="63" t="n"/>
      <c r="K86" s="63" t="n"/>
    </row>
    <row r="87">
      <c r="I87" s="69" t="n">
        <v>0.0009375</v>
      </c>
      <c r="J87" s="63" t="n"/>
      <c r="K87" s="63" t="n"/>
    </row>
    <row r="88">
      <c r="I88" s="69" t="n">
        <v>0.0009490740740740741</v>
      </c>
      <c r="J88" s="63" t="n"/>
      <c r="K88" s="63" t="n"/>
    </row>
    <row r="89">
      <c r="I89" s="69" t="n">
        <v>0.0009606481481481482</v>
      </c>
      <c r="J89" s="63" t="n"/>
      <c r="K89" s="63" t="n"/>
    </row>
    <row r="90">
      <c r="I90" s="69" t="n">
        <v>0.0009722222222222222</v>
      </c>
      <c r="J90" s="63" t="n"/>
      <c r="K90" s="63" t="n"/>
    </row>
    <row r="91">
      <c r="I91" s="69" t="n">
        <v>0.0009837962962962962</v>
      </c>
      <c r="J91" s="63" t="n"/>
      <c r="K91" s="63" t="n"/>
    </row>
    <row r="92">
      <c r="I92" s="69" t="n">
        <v>0.0009953703703703704</v>
      </c>
      <c r="J92" s="63" t="n"/>
      <c r="K92" s="63" t="n"/>
    </row>
    <row r="93">
      <c r="I93" s="69" t="n">
        <v>0.001006944444444444</v>
      </c>
      <c r="J93" s="63" t="n"/>
      <c r="K93" s="63" t="n"/>
    </row>
    <row r="94">
      <c r="I94" s="69" t="n">
        <v>0.001018518518518518</v>
      </c>
      <c r="J94" s="63" t="n"/>
      <c r="K94" s="63" t="n"/>
    </row>
    <row r="95">
      <c r="I95" s="69" t="n">
        <v>0.001030092592592593</v>
      </c>
      <c r="J95" s="63" t="n"/>
      <c r="K95" s="63" t="n"/>
    </row>
    <row r="96">
      <c r="I96" s="69" t="n">
        <v>0.001041666666666667</v>
      </c>
      <c r="J96" s="63" t="n"/>
      <c r="K96" s="63" t="n"/>
    </row>
    <row r="97">
      <c r="I97" s="69" t="n">
        <v>0.001053240740740741</v>
      </c>
      <c r="J97" s="63" t="n"/>
      <c r="K97" s="63" t="n"/>
    </row>
    <row r="98">
      <c r="I98" s="69" t="n">
        <v>0.001064814814814815</v>
      </c>
      <c r="J98" s="63" t="n"/>
      <c r="K98" s="63" t="n"/>
    </row>
    <row r="99">
      <c r="I99" s="69" t="n">
        <v>0.001076388888888889</v>
      </c>
      <c r="J99" s="63" t="n"/>
      <c r="K99" s="63" t="n"/>
    </row>
    <row r="100">
      <c r="I100" s="69" t="n">
        <v>0.001087962962962963</v>
      </c>
      <c r="J100" s="63" t="n"/>
      <c r="K100" s="63" t="n"/>
    </row>
    <row r="101">
      <c r="I101" s="69" t="n">
        <v>0.001099537037037037</v>
      </c>
      <c r="J101" s="63" t="n"/>
      <c r="K101" s="63" t="n"/>
    </row>
    <row r="102">
      <c r="I102" s="69" t="n">
        <v>0.001111111111111111</v>
      </c>
      <c r="J102" s="63" t="n"/>
      <c r="K102" s="63" t="n"/>
    </row>
    <row r="103">
      <c r="I103" s="69" t="n">
        <v>0.001122685185185185</v>
      </c>
      <c r="J103" s="63" t="n"/>
      <c r="K103" s="63" t="n"/>
    </row>
    <row r="104">
      <c r="I104" s="69" t="n">
        <v>0.001134259259259259</v>
      </c>
      <c r="J104" s="63" t="n"/>
      <c r="K104" s="63" t="n"/>
    </row>
    <row r="105">
      <c r="I105" s="69" t="n">
        <v>0.001145833333333333</v>
      </c>
      <c r="J105" s="63" t="n"/>
      <c r="K105" s="63" t="n"/>
    </row>
    <row r="106">
      <c r="I106" s="69" t="n">
        <v>0.001157407407407407</v>
      </c>
      <c r="J106" s="63" t="n"/>
      <c r="K106" s="63" t="n"/>
    </row>
    <row r="107">
      <c r="I107" s="69" t="n">
        <v>0.001168981481481482</v>
      </c>
      <c r="J107" s="63" t="n"/>
      <c r="K107" s="63" t="n"/>
    </row>
    <row r="108">
      <c r="I108" s="69" t="n">
        <v>0.001180555555555556</v>
      </c>
      <c r="J108" s="63" t="n"/>
      <c r="K108" s="63" t="n"/>
    </row>
    <row r="109">
      <c r="I109" s="69" t="n">
        <v>0.00119212962962963</v>
      </c>
      <c r="J109" s="63" t="n"/>
      <c r="K109" s="63" t="n"/>
    </row>
    <row r="110">
      <c r="I110" s="69" t="n">
        <v>0.001203703703703704</v>
      </c>
      <c r="J110" s="63" t="n"/>
      <c r="K110" s="63" t="n"/>
    </row>
    <row r="111">
      <c r="I111" s="69" t="n">
        <v>0.001215277777777778</v>
      </c>
      <c r="J111" s="63" t="n"/>
      <c r="K111" s="63" t="n"/>
    </row>
    <row r="112">
      <c r="I112" s="69" t="n">
        <v>0.001226851851851852</v>
      </c>
      <c r="J112" s="63" t="n"/>
      <c r="K112" s="63" t="n"/>
    </row>
    <row r="113">
      <c r="I113" s="69" t="n">
        <v>0.001238425925925926</v>
      </c>
      <c r="J113" s="63" t="n"/>
      <c r="K113" s="63" t="n"/>
    </row>
    <row r="114">
      <c r="I114" s="69" t="n">
        <v>0.00125</v>
      </c>
      <c r="J114" s="63" t="n"/>
      <c r="K114" s="63" t="n"/>
    </row>
    <row r="115">
      <c r="I115" s="69" t="n">
        <v>0.001261574074074074</v>
      </c>
      <c r="J115" s="63" t="n"/>
      <c r="K115" s="63" t="n"/>
    </row>
    <row r="116">
      <c r="I116" s="69" t="n">
        <v>0.001273148148148148</v>
      </c>
      <c r="J116" s="63" t="n"/>
      <c r="K116" s="63" t="n"/>
    </row>
    <row r="117">
      <c r="I117" s="69" t="n">
        <v>0.001284722222222222</v>
      </c>
      <c r="J117" s="63" t="n"/>
      <c r="K117" s="63" t="n"/>
    </row>
    <row r="118">
      <c r="I118" s="69" t="n">
        <v>0.001296296296296296</v>
      </c>
      <c r="J118" s="63" t="n"/>
      <c r="K118" s="63" t="n"/>
    </row>
    <row r="119">
      <c r="I119" s="69" t="n">
        <v>0.00130787037037037</v>
      </c>
      <c r="J119" s="63" t="n"/>
      <c r="K119" s="63" t="n"/>
    </row>
    <row r="120">
      <c r="I120" s="69" t="n">
        <v>0.001319444444444444</v>
      </c>
      <c r="J120" s="63" t="n"/>
      <c r="K120" s="63" t="n"/>
    </row>
    <row r="121">
      <c r="I121" s="69" t="n">
        <v>0.001331018518518518</v>
      </c>
      <c r="J121" s="63" t="n"/>
      <c r="K121" s="63" t="n"/>
    </row>
    <row r="122">
      <c r="I122" s="69" t="n">
        <v>0.001342592592592592</v>
      </c>
      <c r="J122" s="63" t="n"/>
      <c r="K122" s="63" t="n"/>
    </row>
    <row r="123">
      <c r="I123" s="69" t="n">
        <v>0.001354166666666667</v>
      </c>
      <c r="J123" s="63" t="n"/>
      <c r="K123" s="63" t="n"/>
    </row>
    <row r="124">
      <c r="I124" s="69" t="n">
        <v>0.001365740740740741</v>
      </c>
      <c r="J124" s="63" t="n"/>
      <c r="K124" s="63" t="n"/>
    </row>
    <row r="125">
      <c r="I125" s="69" t="n">
        <v>0.001377314814814815</v>
      </c>
      <c r="J125" s="63" t="n"/>
      <c r="K125" s="63" t="n"/>
    </row>
    <row r="126">
      <c r="I126" s="69" t="n">
        <v>0.001388888888888889</v>
      </c>
      <c r="J126" s="63" t="n"/>
      <c r="K126" s="63" t="n"/>
    </row>
    <row r="127">
      <c r="I127" s="69" t="n">
        <v>0.001400462962962963</v>
      </c>
      <c r="J127" s="63" t="n"/>
      <c r="K127" s="63" t="n"/>
    </row>
    <row r="128">
      <c r="I128" s="69" t="n">
        <v>0.001412037037037037</v>
      </c>
      <c r="J128" s="63" t="n"/>
      <c r="K128" s="63" t="n"/>
    </row>
    <row r="129">
      <c r="I129" s="69" t="n">
        <v>0.001423611111111111</v>
      </c>
      <c r="J129" s="63" t="n"/>
      <c r="K129" s="63" t="n"/>
    </row>
    <row r="130">
      <c r="I130" s="69" t="n">
        <v>0.001435185185185185</v>
      </c>
      <c r="J130" s="63" t="n"/>
      <c r="K130" s="63" t="n"/>
    </row>
    <row r="131">
      <c r="I131" s="69" t="n">
        <v>0.001446759259259259</v>
      </c>
      <c r="J131" s="63" t="n"/>
      <c r="K131" s="63" t="n"/>
    </row>
    <row r="132">
      <c r="I132" s="69" t="n">
        <v>0.001458333333333333</v>
      </c>
      <c r="J132" s="63" t="n"/>
      <c r="K132" s="63" t="n"/>
    </row>
    <row r="133">
      <c r="I133" s="69" t="n">
        <v>0.001469907407407407</v>
      </c>
      <c r="J133" s="63" t="n"/>
      <c r="K133" s="63" t="n"/>
    </row>
    <row r="134">
      <c r="I134" s="69" t="n">
        <v>0.001481481481481481</v>
      </c>
      <c r="J134" s="63" t="n"/>
      <c r="K134" s="63" t="n"/>
    </row>
    <row r="135">
      <c r="I135" s="69" t="n">
        <v>0.001493055555555556</v>
      </c>
      <c r="J135" s="63" t="n"/>
      <c r="K135" s="63" t="n"/>
    </row>
    <row r="136">
      <c r="I136" s="69" t="n">
        <v>0.00150462962962963</v>
      </c>
      <c r="J136" s="63" t="n"/>
      <c r="K136" s="63" t="n"/>
    </row>
    <row r="137">
      <c r="I137" s="69" t="n">
        <v>0.001516203703703704</v>
      </c>
      <c r="J137" s="63" t="n"/>
      <c r="K137" s="63" t="n"/>
    </row>
    <row r="138">
      <c r="I138" s="69" t="n">
        <v>0.001527777777777778</v>
      </c>
      <c r="J138" s="63" t="n"/>
      <c r="K138" s="63" t="n"/>
    </row>
    <row r="139">
      <c r="I139" s="69" t="n">
        <v>0.001539351851851852</v>
      </c>
      <c r="J139" s="63" t="n"/>
      <c r="K139" s="63" t="n"/>
    </row>
    <row r="140">
      <c r="I140" s="69" t="n">
        <v>0.001550925925925926</v>
      </c>
      <c r="J140" s="63" t="n"/>
      <c r="K140" s="63" t="n"/>
    </row>
    <row r="141">
      <c r="I141" s="69" t="n">
        <v>0.0015625</v>
      </c>
      <c r="J141" s="63" t="n"/>
      <c r="K141" s="63" t="n"/>
    </row>
    <row r="142">
      <c r="I142" s="69" t="n">
        <v>0.001574074074074074</v>
      </c>
      <c r="J142" s="63" t="n"/>
      <c r="K142" s="63" t="n"/>
    </row>
    <row r="143">
      <c r="I143" s="69" t="n">
        <v>0.001585648148148148</v>
      </c>
      <c r="J143" s="63" t="n"/>
      <c r="K143" s="63" t="n"/>
    </row>
    <row r="144">
      <c r="I144" s="69" t="n">
        <v>0.001597222222222222</v>
      </c>
      <c r="J144" s="63" t="n"/>
      <c r="K144" s="63" t="n"/>
    </row>
    <row r="145">
      <c r="I145" s="69" t="n">
        <v>0.001608796296296296</v>
      </c>
      <c r="J145" s="63" t="n"/>
      <c r="K145" s="63" t="n"/>
    </row>
    <row r="146">
      <c r="I146" s="69" t="n">
        <v>0.00162037037037037</v>
      </c>
      <c r="J146" s="63" t="n"/>
      <c r="K146" s="63" t="n"/>
    </row>
    <row r="147">
      <c r="I147" s="69" t="n">
        <v>0.001631944444444445</v>
      </c>
      <c r="J147" s="63" t="n"/>
      <c r="K147" s="63" t="n"/>
    </row>
    <row r="148">
      <c r="I148" s="69" t="n">
        <v>0.001643518518518519</v>
      </c>
      <c r="J148" s="63" t="n"/>
      <c r="K148" s="63" t="n"/>
    </row>
    <row r="149">
      <c r="I149" s="69" t="n">
        <v>0.001655092592592593</v>
      </c>
      <c r="J149" s="63" t="n"/>
      <c r="K149" s="63" t="n"/>
    </row>
    <row r="150">
      <c r="I150" s="69" t="n">
        <v>0.001666666666666667</v>
      </c>
      <c r="J150" s="63" t="n"/>
      <c r="K150" s="63" t="n"/>
    </row>
    <row r="151">
      <c r="I151" s="69" t="n">
        <v>0.001678240740740741</v>
      </c>
      <c r="J151" s="63" t="n"/>
      <c r="K151" s="63" t="n"/>
    </row>
    <row r="152">
      <c r="I152" s="69" t="n">
        <v>0.001689814814814815</v>
      </c>
      <c r="J152" s="63" t="n"/>
      <c r="K152" s="63" t="n"/>
    </row>
    <row r="153">
      <c r="I153" s="69" t="n">
        <v>0.001701388888888889</v>
      </c>
      <c r="J153" s="63" t="n"/>
      <c r="K153" s="63" t="n"/>
    </row>
    <row r="154">
      <c r="I154" s="69" t="n">
        <v>0.001712962962962963</v>
      </c>
      <c r="J154" s="63" t="n"/>
      <c r="K154" s="63" t="n"/>
    </row>
    <row r="155">
      <c r="I155" s="69" t="n">
        <v>0.001724537037037037</v>
      </c>
      <c r="J155" s="63" t="n"/>
      <c r="K155" s="63" t="n"/>
    </row>
    <row r="156">
      <c r="I156" s="69" t="n">
        <v>0.001736111111111111</v>
      </c>
      <c r="J156" s="63" t="n"/>
      <c r="K156" s="63" t="n"/>
    </row>
    <row r="157">
      <c r="I157" s="69" t="n">
        <v>0.001747685185185185</v>
      </c>
      <c r="J157" s="63" t="n"/>
      <c r="K157" s="63" t="n"/>
    </row>
    <row r="158">
      <c r="I158" s="69" t="n">
        <v>0.001759259259259259</v>
      </c>
      <c r="J158" s="63" t="n"/>
      <c r="K158" s="63" t="n"/>
    </row>
    <row r="159">
      <c r="I159" s="69" t="n">
        <v>0.001770833333333333</v>
      </c>
      <c r="J159" s="63" t="n"/>
      <c r="K159" s="63" t="n"/>
    </row>
    <row r="160">
      <c r="I160" s="69" t="n">
        <v>0.001782407407407407</v>
      </c>
      <c r="J160" s="63" t="n"/>
      <c r="K160" s="63" t="n"/>
    </row>
    <row r="161">
      <c r="I161" s="69" t="n">
        <v>0.001793981481481481</v>
      </c>
      <c r="J161" s="63" t="n"/>
      <c r="K161" s="63" t="n"/>
    </row>
    <row r="162">
      <c r="I162" s="69" t="n">
        <v>0.001805555555555555</v>
      </c>
      <c r="J162" s="63" t="n"/>
      <c r="K162" s="63" t="n"/>
    </row>
    <row r="163">
      <c r="I163" s="69" t="n">
        <v>0.00181712962962963</v>
      </c>
      <c r="J163" s="63" t="n"/>
      <c r="K163" s="63" t="n"/>
    </row>
    <row r="164">
      <c r="I164" s="69" t="n">
        <v>0.001828703703703704</v>
      </c>
      <c r="J164" s="63" t="n"/>
      <c r="K164" s="63" t="n"/>
    </row>
    <row r="165">
      <c r="I165" s="69" t="n">
        <v>0.001840277777777778</v>
      </c>
      <c r="J165" s="63" t="n"/>
      <c r="K165" s="63" t="n"/>
    </row>
    <row r="166">
      <c r="I166" s="69" t="n">
        <v>0.001851851851851852</v>
      </c>
      <c r="J166" s="63" t="n"/>
      <c r="K166" s="63" t="n"/>
    </row>
    <row r="167">
      <c r="I167" s="69" t="n">
        <v>0.001863425925925926</v>
      </c>
      <c r="J167" s="63" t="n"/>
      <c r="K167" s="63" t="n"/>
    </row>
    <row r="168">
      <c r="I168" s="69" t="n">
        <v>0.001875</v>
      </c>
      <c r="J168" s="63" t="n"/>
      <c r="K168" s="63" t="n"/>
    </row>
    <row r="169">
      <c r="I169" s="69" t="n">
        <v>0.001886574074074074</v>
      </c>
      <c r="J169" s="63" t="n"/>
      <c r="K169" s="63" t="n"/>
    </row>
    <row r="170">
      <c r="I170" s="69" t="n">
        <v>0.001898148148148148</v>
      </c>
      <c r="J170" s="63" t="n"/>
      <c r="K170" s="63" t="n"/>
    </row>
    <row r="171">
      <c r="I171" s="69" t="n">
        <v>0.001909722222222222</v>
      </c>
      <c r="J171" s="63" t="n"/>
      <c r="K171" s="63" t="n"/>
    </row>
    <row r="172">
      <c r="I172" s="69" t="n">
        <v>0.001921296296296296</v>
      </c>
      <c r="J172" s="63" t="n"/>
      <c r="K172" s="63" t="n"/>
    </row>
    <row r="173">
      <c r="I173" s="69" t="n">
        <v>0.00193287037037037</v>
      </c>
      <c r="J173" s="63" t="n"/>
      <c r="K173" s="63" t="n"/>
    </row>
    <row r="174">
      <c r="I174" s="69" t="n">
        <v>0.001944444444444444</v>
      </c>
      <c r="J174" s="63" t="n"/>
      <c r="K174" s="63" t="n"/>
    </row>
    <row r="175">
      <c r="I175" s="69" t="n">
        <v>0.001956018518518518</v>
      </c>
      <c r="J175" s="63" t="n"/>
      <c r="K175" s="63" t="n"/>
    </row>
    <row r="176">
      <c r="I176" s="69" t="n">
        <v>0.001967592592592592</v>
      </c>
      <c r="J176" s="63" t="n"/>
      <c r="K176" s="63" t="n"/>
    </row>
    <row r="177">
      <c r="I177" s="69" t="n">
        <v>0.001979166666666667</v>
      </c>
      <c r="J177" s="63" t="n"/>
      <c r="K177" s="63" t="n"/>
    </row>
    <row r="178">
      <c r="I178" s="69" t="n">
        <v>0.001990740740740741</v>
      </c>
      <c r="J178" s="63" t="n"/>
      <c r="K178" s="63" t="n"/>
    </row>
    <row r="179">
      <c r="I179" s="69" t="n">
        <v>0.002002314814814815</v>
      </c>
      <c r="J179" s="63" t="n"/>
      <c r="K179" s="63" t="n"/>
    </row>
    <row r="180">
      <c r="I180" s="69" t="n">
        <v>0.002013888888888889</v>
      </c>
      <c r="J180" s="63" t="n"/>
      <c r="K180" s="63" t="n"/>
    </row>
    <row r="181">
      <c r="I181" s="69" t="n">
        <v>0.002025462962962963</v>
      </c>
      <c r="J181" s="63" t="n"/>
      <c r="K181" s="63" t="n"/>
    </row>
    <row r="182">
      <c r="I182" s="69" t="n">
        <v>0.002037037037037037</v>
      </c>
      <c r="J182" s="63" t="n"/>
      <c r="K182" s="63" t="n"/>
    </row>
    <row r="183">
      <c r="I183" s="69" t="n">
        <v>0.002048611111111111</v>
      </c>
      <c r="J183" s="63" t="n"/>
      <c r="K183" s="63" t="n"/>
    </row>
    <row r="184">
      <c r="I184" s="69" t="n">
        <v>0.002060185185185185</v>
      </c>
      <c r="J184" s="63" t="n"/>
      <c r="K184" s="63" t="n"/>
    </row>
    <row r="185">
      <c r="I185" s="69" t="n">
        <v>0.002071759259259259</v>
      </c>
      <c r="J185" s="63" t="n"/>
      <c r="K185" s="63" t="n"/>
    </row>
    <row r="186">
      <c r="I186" s="69" t="n">
        <v>0.002083333333333333</v>
      </c>
      <c r="J186" s="63" t="n"/>
      <c r="K186" s="63" t="n"/>
    </row>
    <row r="187">
      <c r="I187" s="69" t="n">
        <v>0.002094907407407407</v>
      </c>
      <c r="J187" s="63" t="n"/>
      <c r="K187" s="63" t="n"/>
    </row>
    <row r="188">
      <c r="I188" s="69" t="n">
        <v>0.002106481481481481</v>
      </c>
      <c r="J188" s="63" t="n"/>
      <c r="K188" s="63" t="n"/>
    </row>
    <row r="189">
      <c r="I189" s="69" t="n">
        <v>0.002118055555555556</v>
      </c>
      <c r="J189" s="63" t="n"/>
      <c r="K189" s="63" t="n"/>
    </row>
    <row r="190">
      <c r="I190" s="69" t="n">
        <v>0.00212962962962963</v>
      </c>
      <c r="J190" s="63" t="n"/>
      <c r="K190" s="63" t="n"/>
    </row>
    <row r="191">
      <c r="I191" s="69" t="n">
        <v>0.002141203703703704</v>
      </c>
      <c r="J191" s="63" t="n"/>
      <c r="K191" s="63" t="n"/>
    </row>
    <row r="192">
      <c r="I192" s="69" t="n">
        <v>0.002152777777777778</v>
      </c>
      <c r="J192" s="63" t="n"/>
      <c r="K192" s="63" t="n"/>
    </row>
    <row r="193">
      <c r="I193" s="69" t="n">
        <v>0.002164351851851852</v>
      </c>
      <c r="J193" s="63" t="n"/>
      <c r="K193" s="63" t="n"/>
    </row>
    <row r="194">
      <c r="I194" s="69" t="n">
        <v>0.002175925925925926</v>
      </c>
      <c r="J194" s="63" t="n"/>
      <c r="K194" s="63" t="n"/>
    </row>
    <row r="195">
      <c r="I195" s="69" t="n">
        <v>0.0021875</v>
      </c>
      <c r="J195" s="63" t="n"/>
      <c r="K195" s="63" t="n"/>
    </row>
    <row r="196">
      <c r="I196" s="69" t="n">
        <v>0.002199074074074074</v>
      </c>
      <c r="J196" s="63" t="n"/>
      <c r="K196" s="63" t="n"/>
    </row>
    <row r="197">
      <c r="I197" s="69" t="n">
        <v>0.002210648148148148</v>
      </c>
      <c r="J197" s="63" t="n"/>
      <c r="K197" s="63" t="n"/>
    </row>
    <row r="198">
      <c r="I198" s="69" t="n">
        <v>0.002222222222222222</v>
      </c>
      <c r="J198" s="63" t="n"/>
      <c r="K198" s="63" t="n"/>
    </row>
    <row r="199">
      <c r="I199" s="69" t="n">
        <v>0.002233796296296296</v>
      </c>
      <c r="J199" s="63" t="n"/>
      <c r="K199" s="63" t="n"/>
    </row>
    <row r="200">
      <c r="I200" s="69" t="n">
        <v>0.00224537037037037</v>
      </c>
      <c r="J200" s="63" t="n"/>
      <c r="K200" s="63" t="n"/>
    </row>
    <row r="201">
      <c r="I201" s="69" t="n">
        <v>0.002256944444444444</v>
      </c>
      <c r="J201" s="63" t="n"/>
      <c r="K201" s="63" t="n"/>
    </row>
    <row r="202">
      <c r="I202" s="69" t="n">
        <v>0.002268518518518519</v>
      </c>
      <c r="J202" s="63" t="n"/>
      <c r="K202" s="63" t="n"/>
    </row>
    <row r="203">
      <c r="I203" s="69" t="n">
        <v>0.002280092592592593</v>
      </c>
      <c r="J203" s="63" t="n"/>
      <c r="K203" s="63" t="n"/>
    </row>
    <row r="204">
      <c r="I204" s="69" t="n">
        <v>0.002291666666666667</v>
      </c>
      <c r="J204" s="63" t="n"/>
      <c r="K204" s="63" t="n"/>
    </row>
    <row r="205">
      <c r="I205" s="69" t="n">
        <v>0.002303240740740741</v>
      </c>
      <c r="J205" s="63" t="n"/>
      <c r="K205" s="63" t="n"/>
    </row>
    <row r="206">
      <c r="I206" s="69" t="n">
        <v>0.002314814814814815</v>
      </c>
      <c r="J206" s="63" t="n"/>
      <c r="K206" s="63" t="n"/>
    </row>
    <row r="207">
      <c r="I207" s="69" t="n">
        <v>0.002326388888888889</v>
      </c>
      <c r="J207" s="63" t="n"/>
      <c r="K207" s="63" t="n"/>
    </row>
    <row r="208">
      <c r="I208" s="69" t="n">
        <v>0.002337962962962963</v>
      </c>
      <c r="J208" s="63" t="n"/>
      <c r="K208" s="63" t="n"/>
    </row>
    <row r="209">
      <c r="I209" s="69" t="n">
        <v>0.002349537037037037</v>
      </c>
      <c r="J209" s="63" t="n"/>
      <c r="K209" s="63" t="n"/>
    </row>
    <row r="210">
      <c r="I210" s="69" t="n">
        <v>0.002361111111111111</v>
      </c>
      <c r="J210" s="63" t="n"/>
      <c r="K210" s="63" t="n"/>
    </row>
    <row r="211">
      <c r="I211" s="69" t="n">
        <v>0.002372685185185185</v>
      </c>
      <c r="J211" s="63" t="n"/>
      <c r="K211" s="63" t="n"/>
    </row>
    <row r="212">
      <c r="I212" s="69" t="n">
        <v>0.002384259259259259</v>
      </c>
      <c r="J212" s="63" t="n"/>
      <c r="K212" s="63" t="n"/>
    </row>
    <row r="213">
      <c r="I213" s="69" t="n">
        <v>0.002395833333333333</v>
      </c>
      <c r="J213" s="63" t="n"/>
      <c r="K213" s="63" t="n"/>
    </row>
    <row r="214">
      <c r="I214" s="69" t="n">
        <v>0.002407407407407408</v>
      </c>
      <c r="J214" s="63" t="n"/>
      <c r="K214" s="63" t="n"/>
    </row>
    <row r="215">
      <c r="I215" s="69" t="n">
        <v>0.002418981481481482</v>
      </c>
      <c r="J215" s="63" t="n"/>
      <c r="K215" s="63" t="n"/>
    </row>
    <row r="216">
      <c r="I216" s="69" t="n">
        <v>0.002430555555555556</v>
      </c>
      <c r="J216" s="63" t="n"/>
      <c r="K216" s="63" t="n"/>
    </row>
    <row r="217">
      <c r="I217" s="69" t="n">
        <v>0.00244212962962963</v>
      </c>
      <c r="J217" s="63" t="n"/>
      <c r="K217" s="63" t="n"/>
    </row>
    <row r="218">
      <c r="I218" s="69" t="n">
        <v>0.002453703703703704</v>
      </c>
      <c r="J218" s="63" t="n"/>
      <c r="K218" s="63" t="n"/>
    </row>
    <row r="219">
      <c r="I219" s="69" t="n">
        <v>0.002465277777777778</v>
      </c>
      <c r="J219" s="63" t="n"/>
      <c r="K219" s="63" t="n"/>
    </row>
    <row r="220">
      <c r="I220" s="69" t="n">
        <v>0.002476851851851852</v>
      </c>
      <c r="J220" s="63" t="n"/>
      <c r="K220" s="63" t="n"/>
    </row>
    <row r="221">
      <c r="I221" s="69" t="n">
        <v>0.002488425925925926</v>
      </c>
      <c r="J221" s="63" t="n"/>
      <c r="K221" s="63" t="n"/>
    </row>
    <row r="222">
      <c r="I222" s="69" t="n">
        <v>0.0025</v>
      </c>
      <c r="J222" s="63" t="n"/>
      <c r="K222" s="63" t="n"/>
    </row>
    <row r="223">
      <c r="I223" s="69" t="n">
        <v>0.002511574074074074</v>
      </c>
      <c r="J223" s="63" t="n"/>
      <c r="K223" s="63" t="n"/>
    </row>
    <row r="224">
      <c r="I224" s="69" t="n">
        <v>0.002523148148148148</v>
      </c>
      <c r="J224" s="63" t="n"/>
      <c r="K224" s="63" t="n"/>
    </row>
    <row r="225">
      <c r="I225" s="69" t="n">
        <v>0.002534722222222222</v>
      </c>
      <c r="J225" s="63" t="n"/>
      <c r="K225" s="63" t="n"/>
    </row>
    <row r="226">
      <c r="I226" s="69" t="n">
        <v>0.002546296296296297</v>
      </c>
      <c r="J226" s="63" t="n"/>
      <c r="K226" s="63" t="n"/>
    </row>
    <row r="227">
      <c r="I227" s="69" t="n">
        <v>0.002557870370370371</v>
      </c>
      <c r="J227" s="63" t="n"/>
      <c r="K227" s="63" t="n"/>
    </row>
    <row r="228">
      <c r="I228" s="69" t="n">
        <v>0.002569444444444445</v>
      </c>
      <c r="J228" s="63" t="n"/>
      <c r="K228" s="63" t="n"/>
    </row>
    <row r="229">
      <c r="I229" s="69" t="n">
        <v>0.002581018518518519</v>
      </c>
      <c r="J229" s="63" t="n"/>
      <c r="K229" s="63" t="n"/>
    </row>
    <row r="230">
      <c r="I230" s="69" t="n">
        <v>0.002592592592592593</v>
      </c>
      <c r="J230" s="63" t="n"/>
      <c r="K230" s="63" t="n"/>
    </row>
    <row r="231">
      <c r="I231" s="69" t="n">
        <v>0.002604166666666667</v>
      </c>
      <c r="J231" s="63" t="n"/>
      <c r="K231" s="63" t="n"/>
    </row>
    <row r="232">
      <c r="I232" s="69" t="n">
        <v>0.002615740740740741</v>
      </c>
      <c r="J232" s="63" t="n"/>
      <c r="K232" s="63" t="n"/>
    </row>
    <row r="233">
      <c r="I233" s="69" t="n">
        <v>0.002627314814814815</v>
      </c>
      <c r="J233" s="63" t="n"/>
      <c r="K233" s="63" t="n"/>
    </row>
    <row r="234">
      <c r="I234" s="69" t="n">
        <v>0.002638888888888889</v>
      </c>
      <c r="J234" s="63" t="n"/>
      <c r="K234" s="63" t="n"/>
    </row>
    <row r="235">
      <c r="I235" s="69" t="n">
        <v>0.002650462962962963</v>
      </c>
      <c r="J235" s="63" t="n"/>
      <c r="K235" s="63" t="n"/>
    </row>
    <row r="236">
      <c r="I236" s="69" t="n">
        <v>0.002662037037037037</v>
      </c>
      <c r="J236" s="63" t="n"/>
      <c r="K236" s="63" t="n"/>
    </row>
    <row r="237">
      <c r="I237" s="69" t="n">
        <v>0.002673611111111111</v>
      </c>
      <c r="J237" s="63" t="n"/>
      <c r="K237" s="63" t="n"/>
    </row>
    <row r="238">
      <c r="I238" s="69" t="n">
        <v>0.002685185185185185</v>
      </c>
      <c r="J238" s="63" t="n"/>
      <c r="K238" s="63" t="n"/>
    </row>
    <row r="239">
      <c r="I239" s="69" t="n">
        <v>0.002696759259259259</v>
      </c>
      <c r="J239" s="63" t="n"/>
      <c r="K239" s="63" t="n"/>
    </row>
    <row r="240">
      <c r="I240" s="69" t="n">
        <v>0.002708333333333333</v>
      </c>
      <c r="J240" s="63" t="n"/>
      <c r="K240" s="63" t="n"/>
    </row>
    <row r="241">
      <c r="I241" s="69" t="n">
        <v>0.002719907407407407</v>
      </c>
      <c r="J241" s="63" t="n"/>
      <c r="K241" s="63" t="n"/>
    </row>
    <row r="242">
      <c r="I242" s="69" t="n">
        <v>0.002731481481481481</v>
      </c>
      <c r="J242" s="63" t="n"/>
      <c r="K242" s="63" t="n"/>
    </row>
    <row r="243">
      <c r="I243" s="69" t="n">
        <v>0.002743055555555555</v>
      </c>
      <c r="J243" s="63" t="n"/>
      <c r="K243" s="63" t="n"/>
    </row>
    <row r="244">
      <c r="I244" s="69" t="n">
        <v>0.002754629629629629</v>
      </c>
      <c r="J244" s="63" t="n"/>
      <c r="K244" s="63" t="n"/>
    </row>
    <row r="245">
      <c r="I245" s="69" t="n">
        <v>0.002766203703703704</v>
      </c>
      <c r="J245" s="63" t="n"/>
      <c r="K245" s="63" t="n"/>
    </row>
    <row r="246">
      <c r="I246" s="69" t="n">
        <v>0.002777777777777778</v>
      </c>
      <c r="J246" s="63" t="n"/>
      <c r="K246" s="63" t="n"/>
    </row>
    <row r="247">
      <c r="I247" s="69" t="n">
        <v>0.002789351851851852</v>
      </c>
      <c r="J247" s="63" t="n"/>
      <c r="K247" s="63" t="n"/>
    </row>
    <row r="248">
      <c r="I248" s="69" t="n">
        <v>0.002800925925925926</v>
      </c>
      <c r="J248" s="63" t="n"/>
      <c r="K248" s="63" t="n"/>
    </row>
    <row r="249">
      <c r="I249" s="69" t="n">
        <v>0.0028125</v>
      </c>
      <c r="J249" s="63" t="n"/>
      <c r="K249" s="63" t="n"/>
    </row>
    <row r="250">
      <c r="I250" s="69" t="n">
        <v>0.002824074074074074</v>
      </c>
      <c r="J250" s="63" t="n"/>
      <c r="K250" s="63" t="n"/>
    </row>
    <row r="251">
      <c r="I251" s="69" t="n">
        <v>0.002835648148148148</v>
      </c>
      <c r="J251" s="63" t="n"/>
      <c r="K251" s="63" t="n"/>
    </row>
    <row r="252">
      <c r="I252" s="69" t="n">
        <v>0.002847222222222222</v>
      </c>
      <c r="J252" s="63" t="n"/>
      <c r="K252" s="63" t="n"/>
    </row>
    <row r="253">
      <c r="I253" s="69" t="n">
        <v>0.002858796296296296</v>
      </c>
      <c r="J253" s="63" t="n"/>
      <c r="K253" s="63" t="n"/>
    </row>
    <row r="254">
      <c r="I254" s="69" t="n">
        <v>0.00287037037037037</v>
      </c>
      <c r="J254" s="63" t="n"/>
      <c r="K254" s="63" t="n"/>
    </row>
    <row r="255">
      <c r="I255" s="69" t="n">
        <v>0.002881944444444444</v>
      </c>
      <c r="J255" s="63" t="n"/>
      <c r="K255" s="63" t="n"/>
    </row>
    <row r="256">
      <c r="I256" s="69" t="n">
        <v>0.002893518518518518</v>
      </c>
      <c r="J256" s="63" t="n"/>
      <c r="K256" s="63" t="n"/>
    </row>
    <row r="257">
      <c r="I257" s="69" t="n">
        <v>0.002905092592592593</v>
      </c>
      <c r="J257" s="63" t="n"/>
      <c r="K257" s="63" t="n"/>
    </row>
    <row r="258">
      <c r="I258" s="69" t="n">
        <v>0.002916666666666667</v>
      </c>
      <c r="J258" s="63" t="n"/>
      <c r="K258" s="63" t="n"/>
    </row>
    <row r="259">
      <c r="I259" s="69" t="n">
        <v>0.002928240740740741</v>
      </c>
      <c r="J259" s="63" t="n"/>
      <c r="K259" s="63" t="n"/>
    </row>
    <row r="260">
      <c r="I260" s="69" t="n">
        <v>0.002939814814814815</v>
      </c>
      <c r="J260" s="63" t="n"/>
      <c r="K260" s="63" t="n"/>
    </row>
    <row r="261">
      <c r="I261" s="69" t="n">
        <v>0.002951388888888889</v>
      </c>
      <c r="J261" s="63" t="n"/>
      <c r="K261" s="63" t="n"/>
    </row>
    <row r="262">
      <c r="I262" s="69" t="n">
        <v>0.002962962962962963</v>
      </c>
      <c r="J262" s="63" t="n"/>
      <c r="K262" s="63" t="n"/>
    </row>
    <row r="263">
      <c r="I263" s="69" t="n">
        <v>0.002974537037037037</v>
      </c>
      <c r="J263" s="63" t="n"/>
      <c r="K263" s="63" t="n"/>
    </row>
    <row r="264">
      <c r="I264" s="69" t="n">
        <v>0.002986111111111111</v>
      </c>
      <c r="J264" s="63" t="n"/>
      <c r="K264" s="63" t="n"/>
    </row>
    <row r="265">
      <c r="I265" s="69" t="n">
        <v>0.002997685185185185</v>
      </c>
      <c r="J265" s="63" t="n"/>
      <c r="K265" s="63" t="n"/>
    </row>
    <row r="266">
      <c r="I266" s="69" t="n">
        <v>0.003009259259259259</v>
      </c>
      <c r="J266" s="63" t="n"/>
      <c r="K266" s="63" t="n"/>
    </row>
    <row r="267">
      <c r="I267" s="69" t="n">
        <v>0.003020833333333333</v>
      </c>
      <c r="J267" s="63" t="n"/>
      <c r="K267" s="63" t="n"/>
    </row>
    <row r="268">
      <c r="I268" s="69" t="n">
        <v>0.003032407407407407</v>
      </c>
      <c r="J268" s="63" t="n"/>
      <c r="K268" s="63" t="n"/>
    </row>
    <row r="269">
      <c r="I269" s="69" t="n">
        <v>0.003043981481481481</v>
      </c>
      <c r="J269" s="63" t="n"/>
      <c r="K269" s="63" t="n"/>
    </row>
    <row r="270">
      <c r="I270" s="69" t="n">
        <v>0.003055555555555556</v>
      </c>
      <c r="J270" s="63" t="n"/>
      <c r="K270" s="63" t="n"/>
    </row>
    <row r="271">
      <c r="I271" s="69" t="n">
        <v>0.00306712962962963</v>
      </c>
      <c r="J271" s="63" t="n"/>
      <c r="K271" s="63" t="n"/>
    </row>
    <row r="272">
      <c r="I272" s="69" t="n">
        <v>0.003078703703703704</v>
      </c>
      <c r="J272" s="63" t="n"/>
      <c r="K272" s="63" t="n"/>
    </row>
    <row r="273">
      <c r="I273" s="69" t="n">
        <v>0.003090277777777778</v>
      </c>
      <c r="J273" s="63" t="n"/>
      <c r="K273" s="63" t="n"/>
    </row>
    <row r="274">
      <c r="I274" s="69" t="n">
        <v>0.003101851851851852</v>
      </c>
      <c r="J274" s="63" t="n"/>
      <c r="K274" s="63" t="n"/>
    </row>
    <row r="275">
      <c r="I275" s="69" t="n">
        <v>0.003113425925925926</v>
      </c>
      <c r="J275" s="63" t="n"/>
      <c r="K275" s="63" t="n"/>
    </row>
    <row r="276">
      <c r="I276" s="69" t="n">
        <v>0.003125</v>
      </c>
      <c r="J276" s="63" t="n"/>
      <c r="K276" s="63" t="n"/>
    </row>
    <row r="277">
      <c r="I277" s="69" t="n">
        <v>0.003136574074074074</v>
      </c>
      <c r="J277" s="63" t="n"/>
      <c r="K277" s="63" t="n"/>
    </row>
    <row r="278">
      <c r="I278" s="69" t="n">
        <v>0.003148148148148148</v>
      </c>
      <c r="J278" s="63" t="n"/>
      <c r="K278" s="63" t="n"/>
    </row>
    <row r="279">
      <c r="I279" s="69" t="n">
        <v>0.003159722222222222</v>
      </c>
      <c r="J279" s="63" t="n"/>
      <c r="K279" s="63" t="n"/>
    </row>
    <row r="280">
      <c r="I280" s="69" t="n">
        <v>0.003171296296296296</v>
      </c>
      <c r="J280" s="63" t="n"/>
      <c r="K280" s="63" t="n"/>
    </row>
    <row r="281">
      <c r="I281" s="69" t="n">
        <v>0.00318287037037037</v>
      </c>
      <c r="J281" s="63" t="n"/>
      <c r="K281" s="63" t="n"/>
    </row>
    <row r="282">
      <c r="I282" s="69" t="n">
        <v>0.003194444444444445</v>
      </c>
      <c r="J282" s="63" t="n"/>
      <c r="K282" s="63" t="n"/>
    </row>
    <row r="283">
      <c r="I283" s="69" t="n">
        <v>0.003206018518518519</v>
      </c>
      <c r="J283" s="63" t="n"/>
      <c r="K283" s="63" t="n"/>
    </row>
    <row r="284">
      <c r="I284" s="69" t="n">
        <v>0.003217592592592593</v>
      </c>
      <c r="J284" s="63" t="n"/>
      <c r="K284" s="63" t="n"/>
    </row>
    <row r="285">
      <c r="I285" s="69" t="n">
        <v>0.003229166666666667</v>
      </c>
      <c r="J285" s="63" t="n"/>
      <c r="K285" s="63" t="n"/>
    </row>
    <row r="286">
      <c r="I286" s="69" t="n">
        <v>0.003240740740740741</v>
      </c>
      <c r="J286" s="63" t="n"/>
      <c r="K286" s="63" t="n"/>
    </row>
    <row r="287">
      <c r="I287" s="69" t="n">
        <v>0.003252314814814815</v>
      </c>
      <c r="J287" s="63" t="n"/>
      <c r="K287" s="63" t="n"/>
    </row>
    <row r="288">
      <c r="I288" s="69" t="n">
        <v>0.003263888888888889</v>
      </c>
      <c r="J288" s="63" t="n"/>
      <c r="K288" s="63" t="n"/>
    </row>
    <row r="289">
      <c r="I289" s="69" t="n">
        <v>0.003275462962962963</v>
      </c>
      <c r="J289" s="63" t="n"/>
      <c r="K289" s="63" t="n"/>
    </row>
    <row r="290">
      <c r="I290" s="69" t="n">
        <v>0.003287037037037037</v>
      </c>
      <c r="J290" s="63" t="n"/>
      <c r="K290" s="63" t="n"/>
    </row>
    <row r="291">
      <c r="I291" s="69" t="n">
        <v>0.003298611111111111</v>
      </c>
      <c r="J291" s="63" t="n"/>
      <c r="K291" s="63" t="n"/>
    </row>
    <row r="292">
      <c r="I292" s="69" t="n">
        <v>0.003310185185185185</v>
      </c>
      <c r="J292" s="63" t="n"/>
      <c r="K292" s="63" t="n"/>
    </row>
    <row r="293">
      <c r="I293" s="69" t="n">
        <v>0.003321759259259259</v>
      </c>
      <c r="J293" s="63" t="n"/>
      <c r="K293" s="63" t="n"/>
    </row>
    <row r="294">
      <c r="I294" s="69" t="n">
        <v>0.003333333333333334</v>
      </c>
      <c r="J294" s="63" t="n"/>
      <c r="K294" s="63" t="n"/>
    </row>
    <row r="295">
      <c r="I295" s="69" t="n">
        <v>0.003344907407407408</v>
      </c>
      <c r="J295" s="63" t="n"/>
      <c r="K295" s="63" t="n"/>
    </row>
    <row r="296">
      <c r="I296" s="69" t="n">
        <v>0.003356481481481482</v>
      </c>
      <c r="J296" s="63" t="n"/>
      <c r="K296" s="63" t="n"/>
    </row>
    <row r="297">
      <c r="I297" s="69" t="n">
        <v>0.003368055555555556</v>
      </c>
      <c r="J297" s="63" t="n"/>
      <c r="K297" s="63" t="n"/>
    </row>
    <row r="298">
      <c r="I298" s="69" t="n">
        <v>0.00337962962962963</v>
      </c>
      <c r="J298" s="63" t="n"/>
      <c r="K298" s="63" t="n"/>
    </row>
    <row r="299">
      <c r="I299" s="69" t="n">
        <v>0.003391203703703704</v>
      </c>
      <c r="J299" s="63" t="n"/>
      <c r="K299" s="63" t="n"/>
    </row>
    <row r="300">
      <c r="I300" s="69" t="n">
        <v>0.003402777777777778</v>
      </c>
      <c r="J300" s="63" t="n"/>
      <c r="K300" s="63" t="n"/>
    </row>
    <row r="301">
      <c r="I301" s="69" t="n">
        <v>0.003414351851851852</v>
      </c>
      <c r="J301" s="63" t="n"/>
      <c r="K301" s="63" t="n"/>
    </row>
    <row r="302">
      <c r="I302" s="69" t="n">
        <v>0.003425925925925926</v>
      </c>
      <c r="J302" s="63" t="n"/>
      <c r="K302" s="63" t="n"/>
    </row>
    <row r="303">
      <c r="I303" s="69" t="n">
        <v>0.0034375</v>
      </c>
      <c r="J303" s="63" t="n"/>
      <c r="K303" s="63" t="n"/>
    </row>
    <row r="304">
      <c r="I304" s="69" t="n">
        <v>0.003449074074074074</v>
      </c>
      <c r="J304" s="63" t="n"/>
      <c r="K304" s="63" t="n"/>
    </row>
    <row r="305">
      <c r="I305" s="69" t="n">
        <v>0.003460648148148148</v>
      </c>
      <c r="J305" s="63" t="n"/>
      <c r="K305" s="63" t="n"/>
    </row>
    <row r="306">
      <c r="I306" s="71" t="n">
        <v>0.003472222222222222</v>
      </c>
      <c r="J306" s="63" t="n"/>
      <c r="K306" s="63" t="n"/>
    </row>
    <row r="307">
      <c r="I307" s="69" t="n">
        <v>0.003483796296296296</v>
      </c>
      <c r="J307" s="63" t="n"/>
      <c r="K307" s="63" t="n"/>
    </row>
    <row r="308">
      <c r="I308" s="69" t="n">
        <v>0.00349537037037037</v>
      </c>
      <c r="J308" s="63" t="n"/>
      <c r="K308" s="63" t="n"/>
    </row>
    <row r="309">
      <c r="I309" s="69" t="n">
        <v>0.003506944444444444</v>
      </c>
      <c r="J309" s="63" t="n"/>
      <c r="K309" s="63" t="n"/>
    </row>
    <row r="310">
      <c r="I310" s="69" t="n">
        <v>0.003518518518518518</v>
      </c>
      <c r="J310" s="63" t="n"/>
      <c r="K310" s="63" t="n"/>
    </row>
    <row r="311">
      <c r="I311" s="69" t="n">
        <v>0.003530092592592592</v>
      </c>
      <c r="J311" s="63" t="n"/>
      <c r="K311" s="63" t="n"/>
    </row>
    <row r="312">
      <c r="I312" s="69" t="n">
        <v>0.003541666666666666</v>
      </c>
      <c r="J312" s="63" t="n"/>
      <c r="K312" s="63" t="n"/>
    </row>
    <row r="313">
      <c r="I313" s="69" t="n">
        <v>0.003553240740740741</v>
      </c>
      <c r="J313" s="63" t="n"/>
      <c r="K313" s="63" t="n"/>
    </row>
    <row r="314">
      <c r="I314" s="69" t="n">
        <v>0.003564814814814815</v>
      </c>
      <c r="J314" s="63" t="n"/>
      <c r="K314" s="63" t="n"/>
    </row>
    <row r="315">
      <c r="I315" s="69" t="n">
        <v>0.003576388888888889</v>
      </c>
      <c r="J315" s="63" t="n"/>
      <c r="K315" s="63" t="n"/>
    </row>
    <row r="316">
      <c r="I316" s="69" t="n">
        <v>0.003587962962962963</v>
      </c>
      <c r="J316" s="63" t="n"/>
      <c r="K316" s="63" t="n"/>
    </row>
    <row r="317">
      <c r="I317" s="69" t="n">
        <v>0.003599537037037037</v>
      </c>
      <c r="J317" s="63" t="n"/>
      <c r="K317" s="63" t="n"/>
    </row>
    <row r="318">
      <c r="I318" s="69" t="n">
        <v>0.003611111111111111</v>
      </c>
      <c r="J318" s="63" t="n"/>
      <c r="K318" s="63" t="n"/>
    </row>
    <row r="319">
      <c r="I319" s="69" t="n">
        <v>0.003622685185185185</v>
      </c>
      <c r="J319" s="63" t="n"/>
      <c r="K319" s="63" t="n"/>
    </row>
    <row r="320">
      <c r="I320" s="69" t="n">
        <v>0.003634259259259259</v>
      </c>
      <c r="J320" s="63" t="n"/>
      <c r="K320" s="63" t="n"/>
    </row>
    <row r="321">
      <c r="I321" s="69" t="n">
        <v>0.003645833333333333</v>
      </c>
      <c r="J321" s="63" t="n"/>
      <c r="K321" s="63" t="n"/>
    </row>
    <row r="322">
      <c r="I322" s="69" t="n">
        <v>0.003657407407407407</v>
      </c>
      <c r="J322" s="63" t="n"/>
      <c r="K322" s="63" t="n"/>
    </row>
    <row r="323">
      <c r="I323" s="69" t="n">
        <v>0.003668981481481481</v>
      </c>
      <c r="J323" s="63" t="n"/>
      <c r="K323" s="63" t="n"/>
    </row>
    <row r="324">
      <c r="I324" s="69" t="n">
        <v>0.003680555555555555</v>
      </c>
      <c r="J324" s="63" t="n"/>
      <c r="K324" s="63" t="n"/>
    </row>
    <row r="325">
      <c r="I325" s="69" t="n">
        <v>0.00369212962962963</v>
      </c>
      <c r="J325" s="63" t="n"/>
      <c r="K325" s="63" t="n"/>
    </row>
    <row r="326">
      <c r="I326" s="69" t="n">
        <v>0.003703703703703704</v>
      </c>
      <c r="J326" s="63" t="n"/>
      <c r="K326" s="63" t="n"/>
    </row>
    <row r="327">
      <c r="I327" s="69" t="n">
        <v>0.003715277777777778</v>
      </c>
      <c r="J327" s="63" t="n"/>
      <c r="K327" s="63" t="n"/>
    </row>
    <row r="328">
      <c r="I328" s="69" t="n">
        <v>0.003726851851851852</v>
      </c>
      <c r="J328" s="63" t="n"/>
      <c r="K328" s="63" t="n"/>
    </row>
    <row r="329">
      <c r="I329" s="69" t="n">
        <v>0.003738425925925926</v>
      </c>
      <c r="J329" s="63" t="n"/>
      <c r="K329" s="63" t="n"/>
    </row>
    <row r="330">
      <c r="I330" s="69" t="n">
        <v>0.00375</v>
      </c>
      <c r="J330" s="63" t="n"/>
      <c r="K330" s="63" t="n"/>
    </row>
    <row r="331">
      <c r="I331" s="69" t="n">
        <v>0.003761574074074074</v>
      </c>
      <c r="J331" s="63" t="n"/>
      <c r="K331" s="63" t="n"/>
    </row>
    <row r="332">
      <c r="I332" s="69" t="n">
        <v>0.003773148148148148</v>
      </c>
      <c r="J332" s="63" t="n"/>
      <c r="K332" s="63" t="n"/>
    </row>
    <row r="333">
      <c r="I333" s="69" t="n">
        <v>0.003784722222222222</v>
      </c>
      <c r="J333" s="63" t="n"/>
      <c r="K333" s="63" t="n"/>
    </row>
    <row r="334">
      <c r="I334" s="69" t="n">
        <v>0.003796296296296296</v>
      </c>
      <c r="J334" s="63" t="n"/>
      <c r="K334" s="63" t="n"/>
    </row>
    <row r="335">
      <c r="I335" s="69" t="n">
        <v>0.00380787037037037</v>
      </c>
      <c r="J335" s="63" t="n"/>
      <c r="K335" s="63" t="n"/>
    </row>
    <row r="336">
      <c r="I336" s="69" t="n">
        <v>0.003819444444444444</v>
      </c>
      <c r="J336" s="63" t="n"/>
      <c r="K336" s="63" t="n"/>
    </row>
    <row r="337">
      <c r="I337" s="69" t="n">
        <v>0.003831018518518518</v>
      </c>
      <c r="J337" s="63" t="n"/>
      <c r="K337" s="63" t="n"/>
    </row>
    <row r="338">
      <c r="I338" s="69" t="n">
        <v>0.003842592592592593</v>
      </c>
      <c r="J338" s="63" t="n"/>
      <c r="K338" s="63" t="n"/>
    </row>
    <row r="339">
      <c r="I339" s="69" t="n">
        <v>0.003854166666666667</v>
      </c>
      <c r="J339" s="63" t="n"/>
      <c r="K339" s="63" t="n"/>
    </row>
    <row r="340">
      <c r="I340" s="69" t="n">
        <v>0.003865740740740741</v>
      </c>
      <c r="J340" s="63" t="n"/>
      <c r="K340" s="63" t="n"/>
    </row>
    <row r="341">
      <c r="I341" s="69" t="n">
        <v>0.003877314814814815</v>
      </c>
      <c r="J341" s="63" t="n"/>
      <c r="K341" s="63" t="n"/>
    </row>
    <row r="342">
      <c r="I342" s="69" t="n">
        <v>0.003888888888888889</v>
      </c>
      <c r="J342" s="63" t="n"/>
      <c r="K342" s="63" t="n"/>
    </row>
    <row r="343">
      <c r="I343" s="69" t="n">
        <v>0.003900462962962963</v>
      </c>
      <c r="J343" s="63" t="n"/>
      <c r="K343" s="63" t="n"/>
    </row>
    <row r="344">
      <c r="I344" s="69" t="n">
        <v>0.003912037037037037</v>
      </c>
      <c r="J344" s="63" t="n"/>
      <c r="K344" s="63" t="n"/>
    </row>
    <row r="345">
      <c r="I345" s="69" t="n">
        <v>0.003923611111111111</v>
      </c>
      <c r="J345" s="63" t="n"/>
      <c r="K345" s="63" t="n"/>
    </row>
    <row r="346">
      <c r="I346" s="69" t="n">
        <v>0.003935185185185185</v>
      </c>
      <c r="J346" s="63" t="n"/>
      <c r="K346" s="63" t="n"/>
    </row>
    <row r="347">
      <c r="I347" s="69" t="n">
        <v>0.003946759259259259</v>
      </c>
      <c r="J347" s="63" t="n"/>
      <c r="K347" s="63" t="n"/>
    </row>
    <row r="348">
      <c r="I348" s="69" t="n">
        <v>0.003958333333333334</v>
      </c>
      <c r="J348" s="63" t="n"/>
      <c r="K348" s="63" t="n"/>
    </row>
    <row r="349">
      <c r="I349" s="69" t="n">
        <v>0.003969907407407407</v>
      </c>
      <c r="J349" s="63" t="n"/>
      <c r="K349" s="63" t="n"/>
    </row>
    <row r="350">
      <c r="I350" s="69" t="n">
        <v>0.003981481481481482</v>
      </c>
      <c r="J350" s="63" t="n"/>
      <c r="K350" s="63" t="n"/>
    </row>
    <row r="351">
      <c r="I351" s="69" t="n">
        <v>0.003993055555555555</v>
      </c>
      <c r="J351" s="63" t="n"/>
      <c r="K351" s="63" t="n"/>
    </row>
    <row r="352">
      <c r="I352" s="69" t="n">
        <v>0.00400462962962963</v>
      </c>
      <c r="J352" s="63" t="n"/>
      <c r="K352" s="63" t="n"/>
    </row>
    <row r="353">
      <c r="I353" s="69" t="n">
        <v>0.004016203703703704</v>
      </c>
      <c r="J353" s="63" t="n"/>
      <c r="K353" s="63" t="n"/>
    </row>
    <row r="354">
      <c r="I354" s="69" t="n">
        <v>0.004027777777777778</v>
      </c>
      <c r="J354" s="63" t="n"/>
      <c r="K354" s="63" t="n"/>
    </row>
    <row r="355">
      <c r="I355" s="69" t="n">
        <v>0.004039351851851852</v>
      </c>
      <c r="J355" s="63" t="n"/>
      <c r="K355" s="63" t="n"/>
    </row>
    <row r="356">
      <c r="I356" s="69" t="n">
        <v>0.004050925925925926</v>
      </c>
      <c r="J356" s="63" t="n"/>
      <c r="K356" s="63" t="n"/>
    </row>
    <row r="357">
      <c r="I357" s="69" t="n">
        <v>0.0040625</v>
      </c>
      <c r="J357" s="63" t="n"/>
      <c r="K357" s="63" t="n"/>
    </row>
    <row r="358">
      <c r="I358" s="69" t="n">
        <v>0.004074074074074074</v>
      </c>
      <c r="J358" s="63" t="n"/>
      <c r="K358" s="63" t="n"/>
    </row>
    <row r="359">
      <c r="I359" s="69" t="n">
        <v>0.004085648148148148</v>
      </c>
      <c r="J359" s="63" t="n"/>
      <c r="K359" s="63" t="n"/>
    </row>
    <row r="360">
      <c r="I360" s="69" t="n">
        <v>0.004097222222222223</v>
      </c>
      <c r="J360" s="63" t="n"/>
      <c r="K360" s="63" t="n"/>
    </row>
    <row r="361">
      <c r="I361" s="69" t="n">
        <v>0.004108796296296296</v>
      </c>
      <c r="J361" s="63" t="n"/>
      <c r="K361" s="63" t="n"/>
    </row>
    <row r="362">
      <c r="I362" s="69" t="n">
        <v>0.004120370370370371</v>
      </c>
      <c r="J362" s="63" t="n"/>
      <c r="K362" s="63" t="n"/>
    </row>
    <row r="363">
      <c r="I363" s="69" t="n">
        <v>0.004131944444444444</v>
      </c>
      <c r="J363" s="63" t="n"/>
      <c r="K363" s="63" t="n"/>
    </row>
    <row r="364">
      <c r="I364" s="69" t="n">
        <v>0.004143518518518519</v>
      </c>
      <c r="J364" s="63" t="n"/>
      <c r="K364" s="63" t="n"/>
    </row>
    <row r="365">
      <c r="I365" s="69" t="n">
        <v>0.004155092592592592</v>
      </c>
      <c r="J365" s="63" t="n"/>
      <c r="K365" s="63" t="n"/>
    </row>
    <row r="366">
      <c r="I366" s="69" t="n">
        <v>0.004166666666666667</v>
      </c>
      <c r="J366" s="63" t="n"/>
      <c r="K366" s="63" t="n"/>
    </row>
    <row r="367">
      <c r="I367" s="69" t="n">
        <v>0.004178240740740741</v>
      </c>
      <c r="J367" s="63" t="n"/>
      <c r="K367" s="63" t="n"/>
    </row>
    <row r="368">
      <c r="I368" s="69" t="n">
        <v>0.004189814814814815</v>
      </c>
      <c r="J368" s="63" t="n"/>
      <c r="K368" s="63" t="n"/>
    </row>
    <row r="369">
      <c r="I369" s="69" t="n">
        <v>0.004201388888888889</v>
      </c>
      <c r="J369" s="63" t="n"/>
      <c r="K369" s="63" t="n"/>
    </row>
    <row r="370">
      <c r="I370" s="69" t="n">
        <v>0.004212962962962963</v>
      </c>
      <c r="J370" s="63" t="n"/>
      <c r="K370" s="63" t="n"/>
    </row>
    <row r="371">
      <c r="I371" s="69" t="n">
        <v>0.004224537037037037</v>
      </c>
      <c r="J371" s="63" t="n"/>
      <c r="K371" s="63" t="n"/>
    </row>
    <row r="372">
      <c r="I372" s="69" t="n">
        <v>0.004236111111111112</v>
      </c>
      <c r="J372" s="63" t="n"/>
      <c r="K372" s="63" t="n"/>
    </row>
    <row r="373">
      <c r="I373" s="69" t="n">
        <v>0.004247685185185185</v>
      </c>
      <c r="J373" s="34" t="n"/>
      <c r="K373" s="34" t="n"/>
    </row>
    <row r="374">
      <c r="I374" s="69" t="n">
        <v>0.00425925925925926</v>
      </c>
      <c r="J374" s="34" t="n"/>
      <c r="K374" s="34" t="n"/>
    </row>
    <row r="375">
      <c r="I375" s="69" t="n">
        <v>0.004270833333333333</v>
      </c>
      <c r="J375" s="34" t="n"/>
      <c r="K375" s="34" t="n"/>
    </row>
    <row r="376">
      <c r="I376" s="69" t="n">
        <v>0.004282407407407408</v>
      </c>
      <c r="J376" s="34" t="n"/>
      <c r="K376" s="34" t="n"/>
    </row>
    <row r="377">
      <c r="I377" s="69" t="n">
        <v>0.004293981481481481</v>
      </c>
      <c r="J377" s="34" t="n"/>
      <c r="K377" s="34" t="n"/>
    </row>
    <row r="378">
      <c r="I378" s="69" t="n">
        <v>0.004305555555555556</v>
      </c>
      <c r="J378" s="34" t="n"/>
      <c r="K378" s="34" t="n"/>
    </row>
    <row r="379">
      <c r="I379" s="69" t="n">
        <v>0.00431712962962963</v>
      </c>
      <c r="J379" s="34" t="n"/>
      <c r="K379" s="34" t="n"/>
    </row>
    <row r="380">
      <c r="I380" s="69" t="n">
        <v>0.004328703703703704</v>
      </c>
      <c r="J380" s="34" t="n"/>
      <c r="K380" s="34" t="n"/>
    </row>
    <row r="381">
      <c r="I381" s="69" t="n">
        <v>0.004340277777777778</v>
      </c>
      <c r="J381" s="34" t="n"/>
      <c r="K381" s="34" t="n"/>
    </row>
    <row r="382">
      <c r="I382" s="69" t="n">
        <v>0.004351851851851852</v>
      </c>
      <c r="J382" s="34" t="n"/>
      <c r="K382" s="34" t="n"/>
    </row>
    <row r="383">
      <c r="I383" s="69" t="n">
        <v>0.004363425925925926</v>
      </c>
      <c r="J383" s="34" t="n"/>
      <c r="K383" s="34" t="n"/>
    </row>
    <row r="384">
      <c r="I384" s="69" t="n">
        <v>0.004375</v>
      </c>
      <c r="J384" s="34" t="n"/>
      <c r="K384" s="34" t="n"/>
    </row>
    <row r="385">
      <c r="I385" s="69" t="n">
        <v>0.004386574074074074</v>
      </c>
      <c r="J385" s="34" t="n"/>
      <c r="K385" s="34" t="n"/>
    </row>
    <row r="386">
      <c r="I386" s="69" t="n">
        <v>0.004398148148148148</v>
      </c>
      <c r="J386" s="34" t="n"/>
      <c r="K386" s="34" t="n"/>
    </row>
    <row r="387">
      <c r="I387" s="69" t="n">
        <v>0.004409722222222222</v>
      </c>
      <c r="J387" s="34" t="n"/>
      <c r="K387" s="34" t="n"/>
    </row>
    <row r="388">
      <c r="I388" s="69" t="n">
        <v>0.004421296296296296</v>
      </c>
      <c r="J388" s="34" t="n"/>
      <c r="K388" s="34" t="n"/>
    </row>
    <row r="389">
      <c r="I389" s="69" t="n">
        <v>0.00443287037037037</v>
      </c>
      <c r="J389" s="34" t="n"/>
      <c r="K389" s="34" t="n"/>
    </row>
    <row r="390">
      <c r="I390" s="69" t="n">
        <v>0.004444444444444444</v>
      </c>
      <c r="J390" s="34" t="n"/>
      <c r="K390" s="34" t="n"/>
    </row>
    <row r="391">
      <c r="I391" s="69" t="n">
        <v>0.004456018518518519</v>
      </c>
      <c r="J391" s="34" t="n"/>
      <c r="K391" s="34" t="n"/>
    </row>
    <row r="392">
      <c r="I392" s="69" t="n">
        <v>0.004467592592592592</v>
      </c>
      <c r="J392" s="34" t="n"/>
      <c r="K392" s="34" t="n"/>
    </row>
    <row r="393">
      <c r="I393" s="69" t="n">
        <v>0.004479166666666667</v>
      </c>
      <c r="J393" s="34" t="n"/>
      <c r="K393" s="34" t="n"/>
    </row>
    <row r="394">
      <c r="I394" s="69" t="n">
        <v>0.00449074074074074</v>
      </c>
      <c r="J394" s="34" t="n"/>
      <c r="K394" s="34" t="n"/>
    </row>
    <row r="395">
      <c r="I395" s="69" t="n">
        <v>0.004502314814814815</v>
      </c>
      <c r="J395" s="34" t="n"/>
      <c r="K395" s="34" t="n"/>
    </row>
    <row r="396">
      <c r="I396" s="69" t="n">
        <v>0.004513888888888888</v>
      </c>
      <c r="J396" s="34" t="n"/>
      <c r="K396" s="34" t="n"/>
    </row>
    <row r="397">
      <c r="I397" s="69" t="n">
        <v>0.004525462962962963</v>
      </c>
      <c r="J397" s="34" t="n"/>
      <c r="K397" s="34" t="n"/>
    </row>
    <row r="398">
      <c r="I398" s="69" t="n">
        <v>0.004537037037037037</v>
      </c>
      <c r="J398" s="34" t="n"/>
      <c r="K398" s="34" t="n"/>
    </row>
    <row r="399">
      <c r="I399" s="69" t="n">
        <v>0.004548611111111111</v>
      </c>
      <c r="J399" s="34" t="n"/>
      <c r="K399" s="34" t="n"/>
    </row>
    <row r="400">
      <c r="I400" s="69" t="n">
        <v>0.004560185185185185</v>
      </c>
      <c r="J400" s="34" t="n"/>
      <c r="K400" s="34" t="n"/>
    </row>
    <row r="401">
      <c r="I401" s="69" t="n">
        <v>0.004571759259259259</v>
      </c>
      <c r="J401" s="34" t="n"/>
      <c r="K401" s="34" t="n"/>
    </row>
    <row r="402">
      <c r="I402" s="69" t="n">
        <v>0.004583333333333333</v>
      </c>
      <c r="J402" s="34" t="n"/>
      <c r="K402" s="34" t="n"/>
    </row>
    <row r="403">
      <c r="I403" s="69" t="n">
        <v>0.004594907407407408</v>
      </c>
      <c r="J403" s="34" t="n"/>
      <c r="K403" s="34" t="n"/>
    </row>
    <row r="404">
      <c r="I404" s="69" t="n">
        <v>0.004606481481481481</v>
      </c>
      <c r="J404" s="34" t="n"/>
      <c r="K404" s="34" t="n"/>
    </row>
    <row r="405">
      <c r="I405" s="69" t="n">
        <v>0.004618055555555556</v>
      </c>
      <c r="J405" s="34" t="n"/>
      <c r="K405" s="34" t="n"/>
    </row>
    <row r="406">
      <c r="I406" s="69" t="n">
        <v>0.004629629629629629</v>
      </c>
      <c r="J406" s="34" t="n"/>
      <c r="K406" s="34" t="n"/>
    </row>
    <row r="407">
      <c r="I407" s="69" t="n">
        <v>0.004641203703703704</v>
      </c>
      <c r="J407" s="34" t="n"/>
      <c r="K407" s="34" t="n"/>
    </row>
    <row r="408">
      <c r="I408" s="69" t="n">
        <v>0.004652777777777777</v>
      </c>
      <c r="J408" s="34" t="n"/>
      <c r="K408" s="34" t="n"/>
    </row>
    <row r="409">
      <c r="I409" s="69" t="n">
        <v>0.004664351851851852</v>
      </c>
      <c r="J409" s="34" t="n"/>
      <c r="K409" s="34" t="n"/>
    </row>
    <row r="410">
      <c r="I410" s="69" t="n">
        <v>0.004675925925925926</v>
      </c>
      <c r="J410" s="34" t="n"/>
      <c r="K410" s="34" t="n"/>
    </row>
    <row r="411">
      <c r="I411" s="69" t="n">
        <v>0.0046875</v>
      </c>
      <c r="J411" s="34" t="n"/>
      <c r="K411" s="34" t="n"/>
    </row>
    <row r="412">
      <c r="I412" s="69" t="n">
        <v>0.004699074074074074</v>
      </c>
      <c r="J412" s="34" t="n"/>
      <c r="K412" s="34" t="n"/>
    </row>
    <row r="413">
      <c r="I413" s="69" t="n">
        <v>0.004710648148148148</v>
      </c>
      <c r="J413" s="34" t="n"/>
      <c r="K413" s="34" t="n"/>
    </row>
    <row r="414">
      <c r="I414" s="69" t="n">
        <v>0.004722222222222222</v>
      </c>
      <c r="J414" s="34" t="n"/>
      <c r="K414" s="34" t="n"/>
    </row>
    <row r="415">
      <c r="I415" s="69" t="n">
        <v>0.004733796296296297</v>
      </c>
      <c r="J415" s="34" t="n"/>
      <c r="K415" s="34" t="n"/>
    </row>
    <row r="416">
      <c r="I416" s="69" t="n">
        <v>0.00474537037037037</v>
      </c>
      <c r="J416" s="34" t="n"/>
      <c r="K416" s="34" t="n"/>
    </row>
    <row r="417">
      <c r="I417" s="69" t="n">
        <v>0.004756944444444445</v>
      </c>
      <c r="J417" s="34" t="n"/>
      <c r="K417" s="34" t="n"/>
    </row>
    <row r="418">
      <c r="I418" s="69" t="n">
        <v>0.004768518518518518</v>
      </c>
      <c r="J418" s="34" t="n"/>
      <c r="K418" s="34" t="n"/>
    </row>
    <row r="419">
      <c r="I419" s="69" t="n">
        <v>0.004780092592592593</v>
      </c>
      <c r="J419" s="34" t="n"/>
      <c r="K419" s="34" t="n"/>
    </row>
    <row r="420">
      <c r="I420" s="69" t="n">
        <v>0.004791666666666666</v>
      </c>
      <c r="J420" s="34" t="n"/>
      <c r="K420" s="34" t="n"/>
    </row>
    <row r="421">
      <c r="I421" s="69" t="n">
        <v>0.004803240740740741</v>
      </c>
      <c r="J421" s="34" t="n"/>
      <c r="K421" s="34" t="n"/>
    </row>
    <row r="422">
      <c r="I422" s="69" t="n">
        <v>0.004814814814814815</v>
      </c>
      <c r="J422" s="34" t="n"/>
      <c r="K422" s="34" t="n"/>
    </row>
    <row r="423">
      <c r="I423" s="69" t="n">
        <v>0.004826388888888889</v>
      </c>
      <c r="J423" s="34" t="n"/>
      <c r="K423" s="34" t="n"/>
    </row>
    <row r="424">
      <c r="I424" s="69" t="n">
        <v>0.004837962962962963</v>
      </c>
      <c r="J424" s="34" t="n"/>
      <c r="K424" s="34" t="n"/>
    </row>
    <row r="425">
      <c r="I425" s="69" t="n">
        <v>0.004849537037037037</v>
      </c>
      <c r="J425" s="34" t="n"/>
      <c r="K425" s="34" t="n"/>
    </row>
    <row r="426">
      <c r="I426" s="69" t="n">
        <v>0.004861111111111111</v>
      </c>
      <c r="J426" s="34" t="n"/>
      <c r="K426" s="34" t="n"/>
    </row>
    <row r="427">
      <c r="I427" s="69" t="n">
        <v>0.004872685185185185</v>
      </c>
      <c r="J427" s="34" t="n"/>
      <c r="K427" s="34" t="n"/>
    </row>
    <row r="428">
      <c r="I428" s="69" t="n">
        <v>0.004884259259259259</v>
      </c>
      <c r="J428" s="34" t="n"/>
      <c r="K428" s="34" t="n"/>
    </row>
    <row r="429">
      <c r="I429" s="69" t="n">
        <v>0.004895833333333334</v>
      </c>
      <c r="J429" s="34" t="n"/>
      <c r="K429" s="34" t="n"/>
    </row>
    <row r="430">
      <c r="I430" s="69" t="n">
        <v>0.004907407407407407</v>
      </c>
      <c r="J430" s="34" t="n"/>
      <c r="K430" s="34" t="n"/>
    </row>
    <row r="431">
      <c r="I431" s="69" t="n">
        <v>0.004918981481481482</v>
      </c>
      <c r="J431" s="34" t="n"/>
      <c r="K431" s="34" t="n"/>
    </row>
    <row r="432">
      <c r="I432" s="69" t="n">
        <v>0.004930555555555555</v>
      </c>
      <c r="J432" s="34" t="n"/>
      <c r="K432" s="34" t="n"/>
    </row>
    <row r="433">
      <c r="I433" s="69" t="n">
        <v>0.00494212962962963</v>
      </c>
      <c r="J433" s="34" t="n"/>
      <c r="K433" s="34" t="n"/>
    </row>
    <row r="434">
      <c r="I434" s="69" t="n">
        <v>0.004953703703703704</v>
      </c>
      <c r="J434" s="34" t="n"/>
      <c r="K434" s="34" t="n"/>
    </row>
    <row r="435">
      <c r="I435" s="69" t="n">
        <v>0.004965277777777778</v>
      </c>
      <c r="J435" s="34" t="n"/>
      <c r="K435" s="34" t="n"/>
    </row>
    <row r="436">
      <c r="I436" s="69" t="n">
        <v>0.004976851851851852</v>
      </c>
      <c r="J436" s="34" t="n"/>
      <c r="K436" s="34" t="n"/>
    </row>
    <row r="437">
      <c r="I437" s="69" t="n">
        <v>0.004988425925925926</v>
      </c>
      <c r="J437" s="34" t="n"/>
      <c r="K437" s="34" t="n"/>
    </row>
    <row r="438">
      <c r="I438" s="69" t="n">
        <v>0.005</v>
      </c>
      <c r="J438" s="34" t="n"/>
      <c r="K438" s="34" t="n"/>
    </row>
    <row r="439">
      <c r="I439" s="69" t="n">
        <v>0.005011574074074074</v>
      </c>
      <c r="J439" s="34" t="n"/>
      <c r="K439" s="34" t="n"/>
    </row>
    <row r="440">
      <c r="I440" s="69" t="n">
        <v>0.005023148148148148</v>
      </c>
      <c r="J440" s="34" t="n"/>
      <c r="K440" s="34" t="n"/>
    </row>
    <row r="441">
      <c r="I441" s="69" t="n">
        <v>0.005034722222222223</v>
      </c>
      <c r="J441" s="34" t="n"/>
      <c r="K441" s="34" t="n"/>
    </row>
    <row r="442">
      <c r="I442" s="69" t="n">
        <v>0.005046296296296296</v>
      </c>
      <c r="J442" s="34" t="n"/>
      <c r="K442" s="34" t="n"/>
    </row>
    <row r="443">
      <c r="I443" s="69" t="n">
        <v>0.005057870370370371</v>
      </c>
      <c r="J443" s="34" t="n"/>
      <c r="K443" s="34" t="n"/>
    </row>
    <row r="444">
      <c r="I444" s="69" t="n">
        <v>0.005069444444444444</v>
      </c>
      <c r="J444" s="34" t="n"/>
      <c r="K444" s="34" t="n"/>
    </row>
    <row r="445">
      <c r="I445" s="69" t="n">
        <v>0.005081018518518519</v>
      </c>
      <c r="J445" s="34" t="n"/>
      <c r="K445" s="34" t="n"/>
    </row>
    <row r="446">
      <c r="I446" s="69" t="n">
        <v>0.005092592592592593</v>
      </c>
      <c r="J446" s="34" t="n"/>
      <c r="K446" s="34" t="n"/>
    </row>
    <row r="447">
      <c r="I447" s="69" t="n">
        <v>0.005104166666666667</v>
      </c>
      <c r="J447" s="34" t="n"/>
      <c r="K447" s="34" t="n"/>
    </row>
    <row r="448">
      <c r="I448" s="69" t="n">
        <v>0.005115740740740741</v>
      </c>
      <c r="J448" s="34" t="n"/>
      <c r="K448" s="34" t="n"/>
    </row>
    <row r="449">
      <c r="I449" s="69" t="n">
        <v>0.005127314814814815</v>
      </c>
      <c r="J449" s="34" t="n"/>
      <c r="K449" s="34" t="n"/>
    </row>
    <row r="450">
      <c r="I450" s="69" t="n">
        <v>0.005138888888888889</v>
      </c>
      <c r="J450" s="34" t="n"/>
      <c r="K450" s="34" t="n"/>
    </row>
    <row r="451">
      <c r="I451" s="69" t="n">
        <v>0.005150462962962963</v>
      </c>
    </row>
    <row r="452">
      <c r="I452" s="69" t="n">
        <v>0.005162037037037037</v>
      </c>
    </row>
    <row r="453">
      <c r="I453" s="69" t="n">
        <v>0.005173611111111111</v>
      </c>
    </row>
    <row r="454">
      <c r="I454" s="69" t="n">
        <v>0.005185185185185185</v>
      </c>
    </row>
    <row r="455">
      <c r="I455" s="69" t="n">
        <v>0.005196759259259259</v>
      </c>
    </row>
    <row r="456">
      <c r="I456" s="69" t="n">
        <v>0.005208333333333333</v>
      </c>
    </row>
    <row r="457">
      <c r="I457" s="69" t="n">
        <v>0.005219907407407407</v>
      </c>
    </row>
    <row r="458">
      <c r="I458" s="69" t="n">
        <v>0.005231481481481481</v>
      </c>
    </row>
    <row r="459">
      <c r="I459" s="69" t="n">
        <v>0.005243055555555555</v>
      </c>
    </row>
    <row r="460">
      <c r="I460" s="69" t="n">
        <v>0.00525462962962963</v>
      </c>
    </row>
    <row r="461">
      <c r="I461" s="69" t="n">
        <v>0.005266203703703703</v>
      </c>
    </row>
    <row r="462">
      <c r="I462" s="69" t="n">
        <v>0.005277777777777778</v>
      </c>
    </row>
    <row r="463">
      <c r="I463" s="69" t="n">
        <v>0.005289351851851852</v>
      </c>
    </row>
    <row r="464">
      <c r="I464" s="69" t="n">
        <v>0.005300925925925926</v>
      </c>
    </row>
    <row r="465">
      <c r="I465" s="69" t="n">
        <v>0.0053125</v>
      </c>
    </row>
    <row r="466">
      <c r="I466" s="69" t="n">
        <v>0.005324074074074074</v>
      </c>
    </row>
    <row r="467">
      <c r="I467" s="69" t="n">
        <v>0.005335648148148148</v>
      </c>
    </row>
    <row r="468">
      <c r="I468" s="69" t="n">
        <v>0.005347222222222222</v>
      </c>
    </row>
    <row r="469">
      <c r="I469" s="69" t="n">
        <v>0.005358796296296296</v>
      </c>
    </row>
    <row r="470">
      <c r="I470" s="69" t="n">
        <v>0.00537037037037037</v>
      </c>
    </row>
    <row r="471">
      <c r="I471" s="69" t="n">
        <v>0.005381944444444444</v>
      </c>
    </row>
    <row r="472">
      <c r="I472" s="69" t="n">
        <v>0.005393518518518519</v>
      </c>
    </row>
    <row r="473">
      <c r="I473" s="69" t="n">
        <v>0.005405092592592592</v>
      </c>
    </row>
    <row r="474">
      <c r="I474" s="69" t="n">
        <v>0.005416666666666667</v>
      </c>
    </row>
    <row r="475">
      <c r="I475" s="69" t="n">
        <v>0.00542824074074074</v>
      </c>
    </row>
    <row r="476">
      <c r="I476" s="72" t="n"/>
    </row>
    <row r="477">
      <c r="I477" s="72" t="n"/>
    </row>
    <row r="478">
      <c r="I478" s="72" t="n"/>
    </row>
    <row r="479">
      <c r="I479" s="72" t="n"/>
    </row>
    <row r="480">
      <c r="I480" s="72" t="n"/>
    </row>
    <row r="481">
      <c r="I481" s="72" t="n"/>
    </row>
    <row r="482">
      <c r="I482" s="72" t="n"/>
    </row>
    <row r="483">
      <c r="I483" s="72" t="n"/>
    </row>
    <row r="484">
      <c r="I484" s="72" t="n"/>
    </row>
    <row r="485">
      <c r="I485" s="72" t="n"/>
    </row>
    <row r="486">
      <c r="I486" s="72" t="n"/>
    </row>
    <row r="487">
      <c r="I487" s="72" t="n"/>
    </row>
    <row r="488">
      <c r="I488" s="72" t="n"/>
    </row>
    <row r="489">
      <c r="I489" s="72" t="n"/>
    </row>
    <row r="490">
      <c r="I490" s="72" t="n"/>
    </row>
    <row r="491">
      <c r="I491" s="72" t="n"/>
    </row>
    <row r="492">
      <c r="I492" s="72" t="n"/>
    </row>
    <row r="493">
      <c r="I493" s="72" t="n"/>
    </row>
    <row r="494">
      <c r="I494" s="72" t="n"/>
    </row>
    <row r="495">
      <c r="I495" s="72" t="n"/>
    </row>
    <row r="496">
      <c r="I496" s="72" t="n"/>
    </row>
    <row r="497">
      <c r="I497" s="72" t="n"/>
    </row>
    <row r="498">
      <c r="I498" s="72" t="n"/>
    </row>
    <row r="499">
      <c r="I499" s="72" t="n"/>
    </row>
    <row r="500">
      <c r="I500" s="72" t="n"/>
    </row>
    <row r="501">
      <c r="I501" s="72" t="n"/>
    </row>
    <row r="502">
      <c r="I502" s="72" t="n"/>
    </row>
    <row r="503">
      <c r="I503" s="72" t="n"/>
    </row>
    <row r="504">
      <c r="I504" s="72" t="n"/>
    </row>
    <row r="505">
      <c r="I505" s="72" t="n"/>
    </row>
    <row r="506">
      <c r="I506" s="72" t="n"/>
    </row>
    <row r="507">
      <c r="I507" s="72" t="n"/>
    </row>
    <row r="508">
      <c r="I508" s="72" t="n"/>
    </row>
    <row r="509">
      <c r="I509" s="72" t="n"/>
    </row>
    <row r="510">
      <c r="I510" s="72" t="n"/>
    </row>
    <row r="511">
      <c r="I511" s="72" t="n"/>
    </row>
    <row r="512">
      <c r="I512" s="72" t="n"/>
    </row>
    <row r="513">
      <c r="I513" s="72" t="n"/>
    </row>
    <row r="514">
      <c r="I514" s="72" t="n"/>
    </row>
    <row r="515">
      <c r="I515" s="72" t="n"/>
    </row>
    <row r="516">
      <c r="I516" s="72" t="n"/>
    </row>
    <row r="517">
      <c r="I517" s="72" t="n"/>
    </row>
    <row r="518">
      <c r="I518" s="72" t="n"/>
    </row>
    <row r="519">
      <c r="I519" s="72" t="n"/>
    </row>
    <row r="520">
      <c r="I520" s="72" t="n"/>
    </row>
    <row r="521">
      <c r="I521" s="72" t="n"/>
    </row>
    <row r="522">
      <c r="I522" s="72" t="n"/>
    </row>
    <row r="523">
      <c r="I523" s="72" t="n"/>
    </row>
    <row r="524">
      <c r="I524" s="72" t="n"/>
    </row>
    <row r="525">
      <c r="I525" s="72" t="n"/>
    </row>
    <row r="526">
      <c r="I526" s="72" t="n"/>
    </row>
    <row r="527">
      <c r="I527" s="72" t="n"/>
    </row>
    <row r="528">
      <c r="I528" s="72" t="n"/>
    </row>
    <row r="529">
      <c r="I529" s="72" t="n"/>
    </row>
    <row r="530">
      <c r="I530" s="72" t="n"/>
    </row>
    <row r="531">
      <c r="I531" s="72" t="n"/>
    </row>
    <row r="532">
      <c r="I532" s="72" t="n"/>
    </row>
    <row r="533">
      <c r="I533" s="72" t="n"/>
    </row>
    <row r="534">
      <c r="I534" s="72" t="n"/>
    </row>
    <row r="535">
      <c r="I535" s="72" t="n"/>
    </row>
    <row r="536">
      <c r="I536" s="72" t="n"/>
    </row>
    <row r="537">
      <c r="I537" s="72" t="n"/>
    </row>
    <row r="538">
      <c r="I538" s="72" t="n"/>
    </row>
    <row r="539">
      <c r="I539" s="72" t="n"/>
    </row>
    <row r="540">
      <c r="I540" s="72" t="n"/>
    </row>
    <row r="541">
      <c r="I541" s="72" t="n"/>
    </row>
    <row r="542">
      <c r="I542" s="72" t="n"/>
    </row>
    <row r="543">
      <c r="I543" s="72" t="n"/>
    </row>
    <row r="544">
      <c r="I544" s="72" t="n"/>
    </row>
    <row r="545">
      <c r="I545" s="72" t="n"/>
    </row>
    <row r="546">
      <c r="I546" s="72" t="n"/>
    </row>
    <row r="547">
      <c r="I547" s="72" t="n"/>
    </row>
    <row r="548">
      <c r="I548" s="72" t="n"/>
    </row>
    <row r="549">
      <c r="I549" s="72" t="n"/>
    </row>
    <row r="550">
      <c r="I550" s="72" t="n"/>
    </row>
    <row r="551">
      <c r="I551" s="72" t="n"/>
    </row>
    <row r="552">
      <c r="I552" s="72" t="n"/>
    </row>
    <row r="553">
      <c r="I553" s="72" t="n"/>
    </row>
    <row r="554">
      <c r="I554" s="72" t="n"/>
    </row>
    <row r="555">
      <c r="I555" s="72" t="n"/>
    </row>
    <row r="556">
      <c r="I556" s="72" t="n"/>
    </row>
    <row r="557">
      <c r="I557" s="72" t="n"/>
    </row>
    <row r="558">
      <c r="I558" s="72" t="n"/>
    </row>
    <row r="559">
      <c r="I559" s="72" t="n"/>
    </row>
    <row r="560">
      <c r="I560" s="72" t="n"/>
    </row>
    <row r="561">
      <c r="I561" s="72" t="n"/>
    </row>
    <row r="562">
      <c r="I562" s="72" t="n"/>
    </row>
    <row r="563">
      <c r="I563" s="72" t="n"/>
    </row>
    <row r="564">
      <c r="I564" s="72" t="n"/>
    </row>
    <row r="565">
      <c r="I565" s="72" t="n"/>
    </row>
    <row r="566">
      <c r="I566" s="72" t="n"/>
    </row>
    <row r="567">
      <c r="I567" s="72" t="n"/>
    </row>
    <row r="568">
      <c r="I568" s="72" t="n"/>
    </row>
    <row r="569">
      <c r="I569" s="72" t="n"/>
    </row>
    <row r="570">
      <c r="I570" s="72" t="n"/>
    </row>
    <row r="571">
      <c r="I571" s="72" t="n"/>
    </row>
    <row r="572">
      <c r="I572" s="72" t="n"/>
    </row>
    <row r="573">
      <c r="I573" s="72" t="n"/>
    </row>
    <row r="574">
      <c r="I574" s="72" t="n"/>
    </row>
    <row r="575">
      <c r="I575" s="72" t="n"/>
    </row>
    <row r="576">
      <c r="I576" s="72" t="n"/>
    </row>
    <row r="577">
      <c r="I577" s="72" t="n"/>
    </row>
    <row r="578">
      <c r="I578" s="72" t="n"/>
    </row>
    <row r="579">
      <c r="I579" s="72" t="n"/>
    </row>
    <row r="580">
      <c r="I580" s="72" t="n"/>
    </row>
    <row r="581">
      <c r="I581" s="72" t="n"/>
    </row>
    <row r="582">
      <c r="I582" s="72" t="n"/>
    </row>
    <row r="583">
      <c r="I583" s="72" t="n"/>
    </row>
    <row r="584">
      <c r="I584" s="72" t="n"/>
    </row>
    <row r="585">
      <c r="I585" s="72" t="n"/>
    </row>
    <row r="586">
      <c r="I586" s="72" t="n"/>
    </row>
    <row r="587">
      <c r="I587" s="72" t="n"/>
    </row>
    <row r="588">
      <c r="I588" s="72" t="n"/>
    </row>
    <row r="589">
      <c r="I589" s="72" t="n"/>
    </row>
    <row r="590">
      <c r="I590" s="72" t="n"/>
    </row>
  </sheetData>
  <mergeCells count="41">
    <mergeCell ref="D1:P1"/>
    <mergeCell ref="D2:P2"/>
    <mergeCell ref="A3:F3"/>
    <mergeCell ref="A5:D5"/>
    <mergeCell ref="F5:G5"/>
    <mergeCell ref="B6:E6"/>
    <mergeCell ref="F6:G6"/>
    <mergeCell ref="B7:E7"/>
    <mergeCell ref="F7:G7"/>
    <mergeCell ref="B8:D8"/>
    <mergeCell ref="F8:G8"/>
    <mergeCell ref="B9:D9"/>
    <mergeCell ref="F9:G9"/>
    <mergeCell ref="B10:D10"/>
    <mergeCell ref="F10:G10"/>
    <mergeCell ref="B11:D11"/>
    <mergeCell ref="F11:G11"/>
    <mergeCell ref="B12:D12"/>
    <mergeCell ref="F12:G12"/>
    <mergeCell ref="B13:E13"/>
    <mergeCell ref="B14:D14"/>
    <mergeCell ref="B15:D15"/>
    <mergeCell ref="F15:G15"/>
    <mergeCell ref="B16:D16"/>
    <mergeCell ref="F16:G16"/>
    <mergeCell ref="B17:D17"/>
    <mergeCell ref="F17:G17"/>
    <mergeCell ref="B18:D18"/>
    <mergeCell ref="F18:G18"/>
    <mergeCell ref="B19:D19"/>
    <mergeCell ref="F19:G19"/>
    <mergeCell ref="B20:D20"/>
    <mergeCell ref="B21:E21"/>
    <mergeCell ref="F21:G21"/>
    <mergeCell ref="A23:F23"/>
    <mergeCell ref="A24:F24"/>
    <mergeCell ref="A6:A12"/>
    <mergeCell ref="A13:A21"/>
    <mergeCell ref="A25:A26"/>
    <mergeCell ref="A1:C2"/>
    <mergeCell ref="B25:C26"/>
  </mergeCells>
  <conditionalFormatting sqref="F21">
    <cfRule dxfId="1" priority="1" type="expression">
      <formula>$F$21="FAILURE"</formula>
    </cfRule>
    <cfRule dxfId="2" priority="2" type="expression">
      <formula>$F$21="PASS"</formula>
    </cfRule>
  </conditionalFormatting>
  <dataValidations count="7">
    <dataValidation allowBlank="0" showErrorMessage="1" showInputMessage="1" sqref="F6:G6" type="list">
      <formula1>"Disable 禁用,Enable使用"</formula1>
    </dataValidation>
    <dataValidation allowBlank="0" showErrorMessage="1" showInputMessage="1" sqref="F7:G7" type="list">
      <formula1>"Positive正转, Negative反转"</formula1>
    </dataValidation>
    <dataValidation allowBlank="0" showErrorMessage="1" showInputMessage="1" sqref="F8:G8" type="list">
      <formula1>"9000,12000"</formula1>
    </dataValidation>
    <dataValidation allowBlank="0" showErrorMessage="1" showInputMessage="1" sqref="F9:G9" type="list">
      <formula1>"5"</formula1>
    </dataValidation>
    <dataValidation allowBlank="0" showErrorMessage="1" showInputMessage="1" sqref="F10:G10" type="list">
      <formula1>"20,45,55"</formula1>
    </dataValidation>
    <dataValidation allowBlank="0" showErrorMessage="1" showInputMessage="1" sqref="F11:G11" type="list">
      <formula1>"10,8"</formula1>
    </dataValidation>
    <dataValidation allowBlank="0" showErrorMessage="1" showInputMessage="1" sqref="F21" type="list">
      <formula1>"PASS,FAILURE"</formula1>
    </dataValidation>
  </dataValidations>
  <pageMargins bottom="0.75" footer="0.3" header="0.3" left="0.699305555555556" right="0.699305555555556" top="0.75"/>
  <pageSetup orientation="portrait" paperSize="9"/>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R64"/>
  <sheetViews>
    <sheetView showGridLines="0" workbookViewId="0" zoomScale="60" zoomScaleNormal="60">
      <pane activePane="bottomLeft" state="frozen" topLeftCell="A18" ySplit="17"/>
      <selection activeCell="A1" sqref="A1"/>
      <selection activeCell="O7" pane="bottomLeft" sqref="O7"/>
    </sheetView>
  </sheetViews>
  <sheetFormatPr baseColWidth="8" defaultColWidth="9.14423076923077" defaultRowHeight="16.8"/>
  <cols>
    <col customWidth="1" max="1" min="1" style="2" width="10.5673076923077"/>
    <col customWidth="1" max="2" min="2" style="2" width="29"/>
    <col customWidth="1" max="3" min="3" style="2" width="22.7115384615385"/>
    <col customWidth="1" max="5" min="4" style="2" width="18.5673076923077"/>
    <col customWidth="1" max="6" min="6" style="2" width="19.2884615384615"/>
    <col customWidth="1" max="8" min="7" style="2" width="18.4230769230769"/>
    <col customWidth="1" max="13" min="9" style="2" width="19.4230769230769"/>
    <col customWidth="1" max="14" min="14" style="2" width="21.1442307692308"/>
    <col customWidth="1" max="15" min="15" style="2" width="19.8557692307692"/>
    <col customWidth="1" max="16" min="16" style="2" width="20.7115384615385"/>
    <col customWidth="1" max="17" min="17" style="2" width="18.4230769230769"/>
    <col customWidth="1" max="18" min="18" style="2" width="44"/>
    <col customWidth="1" max="19" min="19" style="2" width="40.2884615384615"/>
    <col customWidth="1" max="34" min="20" style="2" width="13.7115384615385"/>
    <col customWidth="1" max="16384" min="35" style="2" width="9.14423076923077"/>
  </cols>
  <sheetData>
    <row customHeight="1" ht="30" r="1">
      <c r="A1" s="3" t="n"/>
      <c r="B1" s="4" t="n"/>
      <c r="C1" s="5" t="n"/>
      <c r="D1" s="6" t="inlineStr">
        <is>
          <t>PRODUCT ACCEPTANCE TEST - Work Area Check</t>
        </is>
      </c>
      <c r="E1" s="24" t="n"/>
      <c r="F1" s="24" t="n"/>
      <c r="G1" s="24" t="n"/>
      <c r="H1" s="24" t="n"/>
      <c r="I1" s="24" t="n"/>
      <c r="J1" s="24" t="n"/>
      <c r="K1" s="24" t="n"/>
      <c r="L1" s="24" t="n"/>
      <c r="M1" s="24" t="n"/>
      <c r="N1" s="24" t="n"/>
      <c r="O1" s="24" t="n"/>
      <c r="P1" s="25" t="n"/>
    </row>
    <row customHeight="1" ht="30" r="2">
      <c r="A2" s="7" t="n"/>
      <c r="B2" s="8" t="n"/>
      <c r="C2" s="9" t="n"/>
      <c r="D2" s="10">
        <f>'DUT Description'!D6&amp;" - "&amp;'DUT Description'!E6</f>
        <v/>
      </c>
      <c r="E2" s="28" t="n"/>
      <c r="F2" s="28" t="n"/>
      <c r="G2" s="28" t="n"/>
      <c r="H2" s="28" t="n"/>
      <c r="I2" s="28" t="n"/>
      <c r="J2" s="28" t="n"/>
      <c r="K2" s="28" t="n"/>
      <c r="L2" s="28" t="n"/>
      <c r="M2" s="28" t="n"/>
      <c r="N2" s="28" t="n"/>
      <c r="O2" s="28" t="n"/>
      <c r="P2" s="29" t="n"/>
    </row>
    <row customHeight="1" ht="30" r="3">
      <c r="A3" s="11" t="inlineStr">
        <is>
          <t>Item 12. Work Area Check - Only for Dual Motor or Special Test
双电机或特殊电机的工作区域检查</t>
        </is>
      </c>
    </row>
    <row customHeight="1" ht="30" r="4">
      <c r="A4" s="12" t="inlineStr">
        <is>
          <t>DC Voltage Setup [V]
直流电压</t>
        </is>
      </c>
      <c r="B4" s="13" t="n"/>
      <c r="C4" s="14" t="n">
        <v>400</v>
      </c>
      <c r="D4" s="13" t="n"/>
    </row>
    <row customHeight="1" ht="30" r="5">
      <c r="A5" s="12" t="inlineStr">
        <is>
          <t>Dyno Control model
测功机控制模式</t>
        </is>
      </c>
      <c r="B5" s="13" t="n"/>
      <c r="C5" s="15" t="inlineStr">
        <is>
          <t>Generation &amp; Speed发电速度</t>
        </is>
      </c>
      <c r="D5" s="13" t="n"/>
    </row>
    <row customHeight="1" ht="30" r="6">
      <c r="A6" s="12" t="inlineStr">
        <is>
          <t>DUT - Front Control model
被测电机-前电机控制模式</t>
        </is>
      </c>
      <c r="B6" s="13" t="n"/>
      <c r="C6" s="16" t="inlineStr">
        <is>
          <t>Traction &amp; Torque主转扭矩</t>
        </is>
      </c>
      <c r="D6" s="13" t="n"/>
    </row>
    <row customHeight="1" ht="30" r="7">
      <c r="A7" s="12" t="inlineStr">
        <is>
          <t>DUT - Rear Control model
被测电机-后电机控制模式</t>
        </is>
      </c>
      <c r="B7" s="13" t="n"/>
      <c r="C7" s="16" t="inlineStr">
        <is>
          <t>Traction &amp; Torque主转扭矩</t>
        </is>
      </c>
      <c r="D7" s="13" t="n"/>
    </row>
    <row customHeight="1" ht="30" r="8">
      <c r="A8" s="12" t="inlineStr">
        <is>
          <t>Cooling Setup
冷却系统</t>
        </is>
      </c>
      <c r="B8" s="13" t="n"/>
      <c r="C8" s="17" t="inlineStr">
        <is>
          <t>Front Motor
前电机</t>
        </is>
      </c>
      <c r="D8" s="17" t="inlineStr">
        <is>
          <t>Rear Motor
后电机</t>
        </is>
      </c>
    </row>
    <row customHeight="1" ht="30" r="9">
      <c r="A9" s="12" t="inlineStr">
        <is>
          <t>DUT Flow Rate [LPM]
被测电机冷却介质流量</t>
        </is>
      </c>
      <c r="B9" s="13" t="n"/>
      <c r="C9" s="18">
        <f>'11. High Speed'!F11</f>
        <v/>
      </c>
      <c r="D9" s="18" t="n">
        <v>10</v>
      </c>
    </row>
    <row customHeight="1" ht="30" r="10">
      <c r="A10" s="12" t="inlineStr">
        <is>
          <t>DUT Coolant Pressure [Kpa]
被测电机冷却介质压力</t>
        </is>
      </c>
      <c r="B10" s="13" t="n"/>
      <c r="C10" s="667" t="inlineStr">
        <is>
          <t>&lt;100</t>
        </is>
      </c>
      <c r="D10" s="667" t="inlineStr">
        <is>
          <t>&lt;100</t>
        </is>
      </c>
    </row>
    <row customHeight="1" ht="30" r="11">
      <c r="A11" s="12" t="inlineStr">
        <is>
          <t>Ambient Room Temperature [°C]
测试环境温度</t>
        </is>
      </c>
      <c r="B11" s="13" t="n"/>
      <c r="C11" s="668" t="n">
        <v>20</v>
      </c>
      <c r="D11" s="667" t="n">
        <v>20</v>
      </c>
    </row>
    <row customHeight="1" ht="30" r="12">
      <c r="A12" s="12" t="inlineStr">
        <is>
          <t>DUT Coolant Inlet Temperature [°C]
被测电机冷却介质进入温度</t>
        </is>
      </c>
      <c r="B12" s="13" t="n"/>
      <c r="C12" s="667" t="n">
        <v>20</v>
      </c>
      <c r="D12" s="667" t="n">
        <v>20</v>
      </c>
    </row>
    <row customHeight="1" ht="30" r="13">
      <c r="A13" s="12" t="inlineStr">
        <is>
          <t>MCU Flow Rate [LPM]
逆变器冷却介质流量</t>
        </is>
      </c>
      <c r="B13" s="13" t="n"/>
      <c r="C13" s="18" t="n">
        <v>20</v>
      </c>
      <c r="D13" s="18" t="n">
        <v>20</v>
      </c>
    </row>
    <row customHeight="1" ht="30" r="14">
      <c r="A14" s="12" t="inlineStr">
        <is>
          <t>MCU Coolant Inlet Temperature [°C]
逆变器冷却介质进入温度</t>
        </is>
      </c>
      <c r="B14" s="13" t="n"/>
      <c r="C14" s="668" t="n">
        <v>20</v>
      </c>
      <c r="D14" s="669" t="n">
        <v>20</v>
      </c>
    </row>
    <row customHeight="1" ht="30" r="15">
      <c r="A15" s="22" t="inlineStr">
        <is>
          <t>Step</t>
        </is>
      </c>
      <c r="B15" s="23" t="inlineStr">
        <is>
          <t>Dyno
测功机</t>
        </is>
      </c>
      <c r="C15" s="24" t="n"/>
      <c r="D15" s="25" t="n"/>
      <c r="E15" s="23" t="inlineStr">
        <is>
          <t>Device Under Test
被测电机</t>
        </is>
      </c>
      <c r="F15" s="36" t="n"/>
      <c r="G15" s="36" t="n"/>
      <c r="H15" s="36" t="n"/>
      <c r="I15" s="36" t="n"/>
      <c r="J15" s="36" t="n"/>
      <c r="K15" s="36" t="n"/>
      <c r="L15" s="36" t="n"/>
      <c r="M15" s="36" t="n"/>
      <c r="N15" s="36" t="n"/>
      <c r="O15" s="36" t="n"/>
      <c r="P15" s="13" t="n"/>
      <c r="Q15" s="23" t="inlineStr">
        <is>
          <t>Result
结果</t>
        </is>
      </c>
      <c r="R15" s="23" t="inlineStr">
        <is>
          <t>Comments
说明</t>
        </is>
      </c>
    </row>
    <row customHeight="1" ht="30" r="16">
      <c r="A16" s="26" t="n"/>
      <c r="B16" s="27" t="n"/>
      <c r="C16" s="28" t="n"/>
      <c r="D16" s="29" t="n"/>
      <c r="E16" s="23" t="inlineStr">
        <is>
          <t>Front Motor
前电机</t>
        </is>
      </c>
      <c r="F16" s="36" t="n"/>
      <c r="G16" s="36" t="n"/>
      <c r="H16" s="13" t="n"/>
      <c r="I16" s="23" t="inlineStr">
        <is>
          <t>Rear Motor
后电机</t>
        </is>
      </c>
      <c r="J16" s="36" t="n"/>
      <c r="K16" s="36" t="n"/>
      <c r="L16" s="13" t="n"/>
      <c r="M16" s="23" t="inlineStr">
        <is>
          <t>Total Torque &amp; Power
总扭矩和功率</t>
        </is>
      </c>
      <c r="N16" s="36" t="n"/>
      <c r="O16" s="36" t="n"/>
      <c r="P16" s="13" t="n"/>
      <c r="Q16" s="30" t="n"/>
      <c r="R16" s="30" t="n"/>
    </row>
    <row customFormat="1" customHeight="1" ht="47.25" r="17" s="1">
      <c r="A17" s="30" t="n"/>
      <c r="B17" s="23" t="inlineStr">
        <is>
          <t>Speed Command [rpm]
速度命令</t>
        </is>
      </c>
      <c r="C17" s="23" t="inlineStr">
        <is>
          <t>Feedback Speed 反馈速度[rpm]</t>
        </is>
      </c>
      <c r="D17" s="23" t="inlineStr">
        <is>
          <t>Feedback Torque 反馈扭矩[Nm]</t>
        </is>
      </c>
      <c r="E17" s="37" t="inlineStr">
        <is>
          <t>Torque Command
扭矩命令 [Nm]</t>
        </is>
      </c>
      <c r="F17" s="23" t="inlineStr">
        <is>
          <t>Feedback Torque 反馈扭矩[Nm]</t>
        </is>
      </c>
      <c r="G17" s="23" t="inlineStr">
        <is>
          <t>Feedback speed 反馈速度[rpm]</t>
        </is>
      </c>
      <c r="H17" s="23" t="inlineStr">
        <is>
          <t>Motor Temp. 前电机温度[°C]</t>
        </is>
      </c>
      <c r="I17" s="37" t="inlineStr">
        <is>
          <t>Torque Command 扭矩命令[Nm]</t>
        </is>
      </c>
      <c r="J17" s="23" t="inlineStr">
        <is>
          <t>Feedback Torque 反馈扭矩[Nm]</t>
        </is>
      </c>
      <c r="K17" s="23" t="inlineStr">
        <is>
          <t>Feedback speed
反馈速度[rpm]</t>
        </is>
      </c>
      <c r="L17" s="23" t="inlineStr">
        <is>
          <t>Motor Temp.
后电机温度 [°C]</t>
        </is>
      </c>
      <c r="M17" s="23" t="inlineStr">
        <is>
          <t>Torque Sensor Offset [VDC]
扭矩传感器补偿值</t>
        </is>
      </c>
      <c r="N17" s="23" t="inlineStr">
        <is>
          <t>Torque Sensor DC Read [VDC]
扭矩传感器直流值</t>
        </is>
      </c>
      <c r="O17" s="23" t="inlineStr">
        <is>
          <t>Torque Measurement
扭矩测量值</t>
        </is>
      </c>
      <c r="P17" s="23" t="inlineStr">
        <is>
          <t>DUT Shaft output Power [kW]
被测电机轴输出功率</t>
        </is>
      </c>
      <c r="Q17" s="23" t="inlineStr">
        <is>
          <t>[Pass/Failure]
通过/不通过</t>
        </is>
      </c>
      <c r="R17" s="23" t="n"/>
    </row>
    <row customHeight="1" ht="20.1" r="18">
      <c r="A18" s="31" t="n">
        <v>1</v>
      </c>
      <c r="B18" s="32" t="n">
        <v>1000</v>
      </c>
      <c r="C18" s="33" t="n">
        <v>1000</v>
      </c>
      <c r="D18" s="34" t="n"/>
      <c r="E18" s="38" t="n">
        <v>50</v>
      </c>
      <c r="F18" s="39" t="n"/>
      <c r="G18" s="39" t="n"/>
      <c r="H18" s="39" t="n"/>
      <c r="I18" s="38">
        <f>E18</f>
        <v/>
      </c>
      <c r="J18" s="39" t="n"/>
      <c r="K18" s="39" t="n"/>
      <c r="L18" s="39" t="n"/>
      <c r="M18" s="40" t="n">
        <v>0</v>
      </c>
      <c r="N18" s="40" t="n">
        <v>0.5</v>
      </c>
      <c r="O18" s="670">
        <f>(N18-M18)*100.12</f>
        <v/>
      </c>
      <c r="P18" s="670">
        <f>G18*O18*2*PI()/60/1000</f>
        <v/>
      </c>
      <c r="Q18" s="33" t="inlineStr">
        <is>
          <t>PASS</t>
        </is>
      </c>
      <c r="R18" s="43" t="n"/>
    </row>
    <row customHeight="1" ht="20.1" r="19">
      <c r="A19" s="31" t="n">
        <v>2</v>
      </c>
      <c r="B19" s="32" t="n">
        <v>1000</v>
      </c>
      <c r="C19" s="33" t="n">
        <v>1000</v>
      </c>
      <c r="D19" s="34" t="n"/>
      <c r="E19" s="38" t="n">
        <v>100</v>
      </c>
      <c r="F19" s="39" t="n"/>
      <c r="G19" s="33" t="n"/>
      <c r="H19" s="33" t="n"/>
      <c r="I19" s="38">
        <f>E19</f>
        <v/>
      </c>
      <c r="J19" s="39" t="n"/>
      <c r="K19" s="33" t="n"/>
      <c r="L19" s="33" t="n"/>
      <c r="M19" s="40" t="n">
        <v>0</v>
      </c>
      <c r="N19" s="40" t="n">
        <v>1</v>
      </c>
      <c r="O19" s="670">
        <f>(N19-M19)*100.12</f>
        <v/>
      </c>
      <c r="P19" s="670">
        <f>G19*O19*2*PI()/60/1000</f>
        <v/>
      </c>
      <c r="Q19" s="33" t="inlineStr">
        <is>
          <t>PASS</t>
        </is>
      </c>
      <c r="R19" s="44" t="n"/>
    </row>
    <row customHeight="1" ht="20.1" r="20">
      <c r="A20" s="31" t="n">
        <v>3</v>
      </c>
      <c r="B20" s="32" t="n">
        <v>1000</v>
      </c>
      <c r="C20" s="33" t="n">
        <v>1000</v>
      </c>
      <c r="D20" s="34" t="n"/>
      <c r="E20" s="38" t="n">
        <v>150</v>
      </c>
      <c r="F20" s="39" t="n"/>
      <c r="G20" s="33" t="n"/>
      <c r="H20" s="33" t="n"/>
      <c r="I20" s="38">
        <f>E20</f>
        <v/>
      </c>
      <c r="J20" s="39" t="n"/>
      <c r="K20" s="33" t="n"/>
      <c r="L20" s="33" t="n"/>
      <c r="M20" s="40" t="n">
        <v>0</v>
      </c>
      <c r="N20" s="40" t="n">
        <v>1.5</v>
      </c>
      <c r="O20" s="670">
        <f>(N20-M20)*100.12</f>
        <v/>
      </c>
      <c r="P20" s="670">
        <f>G20*O20*2*PI()/60/1000</f>
        <v/>
      </c>
      <c r="Q20" s="33" t="inlineStr">
        <is>
          <t>PASS</t>
        </is>
      </c>
      <c r="R20" s="44" t="n"/>
    </row>
    <row customHeight="1" ht="20.1" r="21">
      <c r="A21" s="31" t="n">
        <v>4</v>
      </c>
      <c r="B21" s="32" t="n">
        <v>2000</v>
      </c>
      <c r="C21" s="33" t="n">
        <v>2000</v>
      </c>
      <c r="D21" s="34" t="n"/>
      <c r="E21" s="38" t="n">
        <v>50</v>
      </c>
      <c r="F21" s="39" t="n"/>
      <c r="G21" s="33" t="n"/>
      <c r="H21" s="33" t="n"/>
      <c r="I21" s="38">
        <f>E21</f>
        <v/>
      </c>
      <c r="J21" s="39" t="n"/>
      <c r="K21" s="33" t="n"/>
      <c r="L21" s="33" t="n"/>
      <c r="M21" s="40" t="n">
        <v>0</v>
      </c>
      <c r="N21" s="40" t="n">
        <v>0.5</v>
      </c>
      <c r="O21" s="670">
        <f>(N21-M21)*100.12</f>
        <v/>
      </c>
      <c r="P21" s="670">
        <f>G21*O21*2*PI()/60/1000</f>
        <v/>
      </c>
      <c r="Q21" s="33" t="inlineStr">
        <is>
          <t>PASS</t>
        </is>
      </c>
      <c r="R21" s="44" t="n"/>
    </row>
    <row customHeight="1" ht="20.1" r="22">
      <c r="A22" s="31" t="n">
        <v>5</v>
      </c>
      <c r="B22" s="32" t="n">
        <v>2000</v>
      </c>
      <c r="C22" s="33" t="n">
        <v>2000</v>
      </c>
      <c r="D22" s="34" t="n"/>
      <c r="E22" s="38" t="n">
        <v>100</v>
      </c>
      <c r="F22" s="39" t="n"/>
      <c r="G22" s="33" t="n"/>
      <c r="H22" s="33" t="n"/>
      <c r="I22" s="38">
        <f>E22</f>
        <v/>
      </c>
      <c r="J22" s="39" t="n"/>
      <c r="K22" s="33" t="n"/>
      <c r="L22" s="33" t="n"/>
      <c r="M22" s="40" t="n">
        <v>0</v>
      </c>
      <c r="N22" s="40" t="n">
        <v>1</v>
      </c>
      <c r="O22" s="670">
        <f>(N22-M22)*100.12</f>
        <v/>
      </c>
      <c r="P22" s="670">
        <f>G22*O22*2*PI()/60/1000</f>
        <v/>
      </c>
      <c r="Q22" s="33" t="inlineStr">
        <is>
          <t>PASS</t>
        </is>
      </c>
      <c r="R22" s="44" t="n"/>
    </row>
    <row customHeight="1" ht="20.1" r="23">
      <c r="A23" s="31" t="n">
        <v>6</v>
      </c>
      <c r="B23" s="32" t="n">
        <v>2000</v>
      </c>
      <c r="C23" s="33" t="n">
        <v>2000</v>
      </c>
      <c r="D23" s="34" t="n"/>
      <c r="E23" s="38" t="n">
        <v>150</v>
      </c>
      <c r="F23" s="39" t="n"/>
      <c r="G23" s="33" t="n"/>
      <c r="H23" s="33" t="n"/>
      <c r="I23" s="38">
        <f>E23</f>
        <v/>
      </c>
      <c r="J23" s="39" t="n"/>
      <c r="K23" s="33" t="n"/>
      <c r="L23" s="33" t="n"/>
      <c r="M23" s="40" t="n">
        <v>0</v>
      </c>
      <c r="N23" s="40" t="n">
        <v>1.5</v>
      </c>
      <c r="O23" s="670">
        <f>(N23-M23)*100.12</f>
        <v/>
      </c>
      <c r="P23" s="670">
        <f>G23*O23*2*PI()/60/1000</f>
        <v/>
      </c>
      <c r="Q23" s="33" t="inlineStr">
        <is>
          <t>PASS</t>
        </is>
      </c>
      <c r="R23" s="44" t="n"/>
    </row>
    <row customHeight="1" ht="20.1" r="24">
      <c r="A24" s="31" t="n">
        <v>7</v>
      </c>
      <c r="B24" s="32" t="n">
        <v>3000</v>
      </c>
      <c r="C24" s="33" t="n">
        <v>3000</v>
      </c>
      <c r="D24" s="34" t="n"/>
      <c r="E24" s="38" t="n">
        <v>50</v>
      </c>
      <c r="F24" s="39" t="n"/>
      <c r="G24" s="33" t="n"/>
      <c r="H24" s="33" t="n"/>
      <c r="I24" s="38">
        <f>E24</f>
        <v/>
      </c>
      <c r="J24" s="39" t="n"/>
      <c r="K24" s="33" t="n"/>
      <c r="L24" s="33" t="n"/>
      <c r="M24" s="40" t="n">
        <v>0</v>
      </c>
      <c r="N24" s="40" t="n">
        <v>0.5</v>
      </c>
      <c r="O24" s="670">
        <f>(N24-M24)*100.12</f>
        <v/>
      </c>
      <c r="P24" s="670">
        <f>G24*O24*2*PI()/60/1000</f>
        <v/>
      </c>
      <c r="Q24" s="33" t="inlineStr">
        <is>
          <t>PASS</t>
        </is>
      </c>
      <c r="R24" s="44" t="n"/>
    </row>
    <row customHeight="1" ht="20.1" r="25">
      <c r="A25" s="31" t="n">
        <v>8</v>
      </c>
      <c r="B25" s="32" t="n">
        <v>3000</v>
      </c>
      <c r="C25" s="33" t="n">
        <v>3000</v>
      </c>
      <c r="D25" s="34" t="n"/>
      <c r="E25" s="38" t="n">
        <v>100</v>
      </c>
      <c r="F25" s="39" t="n"/>
      <c r="G25" s="33" t="n"/>
      <c r="H25" s="33" t="n"/>
      <c r="I25" s="38">
        <f>E25</f>
        <v/>
      </c>
      <c r="J25" s="39" t="n"/>
      <c r="K25" s="33" t="n"/>
      <c r="L25" s="33" t="n"/>
      <c r="M25" s="40" t="n">
        <v>0</v>
      </c>
      <c r="N25" s="40" t="n">
        <v>1</v>
      </c>
      <c r="O25" s="670">
        <f>(N25-M25)*100.12</f>
        <v/>
      </c>
      <c r="P25" s="670">
        <f>G25*O25*2*PI()/60/1000</f>
        <v/>
      </c>
      <c r="Q25" s="33" t="inlineStr">
        <is>
          <t>PASS</t>
        </is>
      </c>
      <c r="R25" s="44" t="n"/>
    </row>
    <row customHeight="1" ht="20.1" r="26">
      <c r="A26" s="31" t="n">
        <v>9</v>
      </c>
      <c r="B26" s="32" t="n">
        <v>3000</v>
      </c>
      <c r="C26" s="33" t="n">
        <v>3000</v>
      </c>
      <c r="D26" s="34" t="n"/>
      <c r="E26" s="38" t="n">
        <v>150</v>
      </c>
      <c r="F26" s="39" t="n"/>
      <c r="G26" s="33" t="n"/>
      <c r="H26" s="33" t="n"/>
      <c r="I26" s="38">
        <f>E26</f>
        <v/>
      </c>
      <c r="J26" s="39" t="n"/>
      <c r="K26" s="33" t="n"/>
      <c r="L26" s="33" t="n"/>
      <c r="M26" s="40" t="n">
        <v>0</v>
      </c>
      <c r="N26" s="40" t="n">
        <v>1.5</v>
      </c>
      <c r="O26" s="670">
        <f>(N26-M26)*100.12</f>
        <v/>
      </c>
      <c r="P26" s="670">
        <f>G26*O26*2*PI()/60/1000</f>
        <v/>
      </c>
      <c r="Q26" s="33" t="inlineStr">
        <is>
          <t>PASS</t>
        </is>
      </c>
      <c r="R26" s="44" t="n"/>
    </row>
    <row customHeight="1" ht="20.1" r="27">
      <c r="A27" s="31" t="n">
        <v>10</v>
      </c>
      <c r="B27" s="32" t="n">
        <v>4000</v>
      </c>
      <c r="C27" s="33" t="n">
        <v>4000</v>
      </c>
      <c r="D27" s="34" t="n"/>
      <c r="E27" s="38" t="n">
        <v>50</v>
      </c>
      <c r="F27" s="39" t="n"/>
      <c r="G27" s="33" t="n"/>
      <c r="H27" s="33" t="n"/>
      <c r="I27" s="38">
        <f>E27</f>
        <v/>
      </c>
      <c r="J27" s="39" t="n"/>
      <c r="K27" s="33" t="n"/>
      <c r="L27" s="33" t="n"/>
      <c r="M27" s="40" t="n">
        <v>0</v>
      </c>
      <c r="N27" s="40" t="n">
        <v>0.5</v>
      </c>
      <c r="O27" s="670">
        <f>(N27-M27)*100.12</f>
        <v/>
      </c>
      <c r="P27" s="670">
        <f>G27*O27*2*PI()/60/1000</f>
        <v/>
      </c>
      <c r="Q27" s="33" t="inlineStr">
        <is>
          <t>PASS</t>
        </is>
      </c>
      <c r="R27" s="44" t="n"/>
    </row>
    <row customHeight="1" ht="20.1" r="28">
      <c r="A28" s="31" t="n">
        <v>11</v>
      </c>
      <c r="B28" s="32" t="n">
        <v>4000</v>
      </c>
      <c r="C28" s="33" t="n">
        <v>4000</v>
      </c>
      <c r="D28" s="34" t="n"/>
      <c r="E28" s="38" t="n">
        <v>100</v>
      </c>
      <c r="F28" s="39" t="n"/>
      <c r="G28" s="33" t="n"/>
      <c r="H28" s="33" t="n"/>
      <c r="I28" s="38">
        <f>E28</f>
        <v/>
      </c>
      <c r="J28" s="39" t="n"/>
      <c r="K28" s="33" t="n"/>
      <c r="L28" s="33" t="n"/>
      <c r="M28" s="40" t="n">
        <v>0</v>
      </c>
      <c r="N28" s="40" t="n">
        <v>1</v>
      </c>
      <c r="O28" s="670">
        <f>(N28-M28)*100.12</f>
        <v/>
      </c>
      <c r="P28" s="670">
        <f>G28*O28*2*PI()/60/1000</f>
        <v/>
      </c>
      <c r="Q28" s="33" t="inlineStr">
        <is>
          <t>PASS</t>
        </is>
      </c>
      <c r="R28" s="44" t="n"/>
    </row>
    <row customHeight="1" ht="20.1" r="29">
      <c r="A29" s="31" t="n">
        <v>12</v>
      </c>
      <c r="B29" s="32" t="n">
        <v>4000</v>
      </c>
      <c r="C29" s="33" t="n">
        <v>4000</v>
      </c>
      <c r="D29" s="34" t="n"/>
      <c r="E29" s="38" t="n">
        <v>150</v>
      </c>
      <c r="F29" s="39" t="n"/>
      <c r="G29" s="33" t="n"/>
      <c r="H29" s="33" t="n"/>
      <c r="I29" s="38">
        <f>E29</f>
        <v/>
      </c>
      <c r="J29" s="39" t="n"/>
      <c r="K29" s="33" t="n"/>
      <c r="L29" s="33" t="n"/>
      <c r="M29" s="40" t="n">
        <v>0</v>
      </c>
      <c r="N29" s="40" t="n">
        <v>1.5</v>
      </c>
      <c r="O29" s="670">
        <f>(N29-M29)*100.12</f>
        <v/>
      </c>
      <c r="P29" s="670">
        <f>G29*O29*2*PI()/60/1000</f>
        <v/>
      </c>
      <c r="Q29" s="33" t="inlineStr">
        <is>
          <t>PASS</t>
        </is>
      </c>
      <c r="R29" s="44" t="n"/>
    </row>
    <row customHeight="1" ht="20.1" r="30">
      <c r="A30" s="31" t="n">
        <v>13</v>
      </c>
      <c r="B30" s="32" t="n">
        <v>5000</v>
      </c>
      <c r="C30" s="33" t="n">
        <v>5000</v>
      </c>
      <c r="D30" s="34" t="n"/>
      <c r="E30" s="38" t="n">
        <v>50</v>
      </c>
      <c r="F30" s="39" t="n"/>
      <c r="G30" s="33" t="n"/>
      <c r="H30" s="33" t="n"/>
      <c r="I30" s="38">
        <f>E30</f>
        <v/>
      </c>
      <c r="J30" s="39" t="n"/>
      <c r="K30" s="33" t="n"/>
      <c r="L30" s="33" t="n"/>
      <c r="M30" s="40" t="n">
        <v>0</v>
      </c>
      <c r="N30" s="40" t="n">
        <v>0.5</v>
      </c>
      <c r="O30" s="670">
        <f>(N30-M30)*100.12</f>
        <v/>
      </c>
      <c r="P30" s="670">
        <f>G30*O30*2*PI()/60/1000</f>
        <v/>
      </c>
      <c r="Q30" s="33" t="inlineStr">
        <is>
          <t>PASS</t>
        </is>
      </c>
      <c r="R30" s="44" t="n"/>
    </row>
    <row customHeight="1" ht="20.1" r="31">
      <c r="A31" s="31" t="n">
        <v>14</v>
      </c>
      <c r="B31" s="32" t="n">
        <v>5000</v>
      </c>
      <c r="C31" s="33" t="n">
        <v>5000</v>
      </c>
      <c r="D31" s="34" t="n"/>
      <c r="E31" s="38" t="n">
        <v>100</v>
      </c>
      <c r="F31" s="39" t="n"/>
      <c r="G31" s="33" t="n"/>
      <c r="H31" s="33" t="n"/>
      <c r="I31" s="38">
        <f>E31</f>
        <v/>
      </c>
      <c r="J31" s="39" t="n"/>
      <c r="K31" s="33" t="n"/>
      <c r="L31" s="33" t="n"/>
      <c r="M31" s="40" t="n">
        <v>0</v>
      </c>
      <c r="N31" s="40" t="n">
        <v>1</v>
      </c>
      <c r="O31" s="670">
        <f>(N31-M31)*100.12</f>
        <v/>
      </c>
      <c r="P31" s="670">
        <f>G31*O31*2*PI()/60/1000</f>
        <v/>
      </c>
      <c r="Q31" s="33" t="inlineStr">
        <is>
          <t>PASS</t>
        </is>
      </c>
      <c r="R31" s="44" t="n"/>
    </row>
    <row customHeight="1" ht="20.1" r="32">
      <c r="A32" s="31" t="n">
        <v>15</v>
      </c>
      <c r="B32" s="32" t="n">
        <v>6000</v>
      </c>
      <c r="C32" s="33" t="n">
        <v>6000</v>
      </c>
      <c r="D32" s="34" t="n"/>
      <c r="E32" s="38" t="n">
        <v>50</v>
      </c>
      <c r="F32" s="39" t="n"/>
      <c r="G32" s="33" t="n"/>
      <c r="H32" s="33" t="n"/>
      <c r="I32" s="38">
        <f>E32</f>
        <v/>
      </c>
      <c r="J32" s="39" t="n"/>
      <c r="K32" s="33" t="n"/>
      <c r="L32" s="33" t="n"/>
      <c r="M32" s="40" t="n">
        <v>0</v>
      </c>
      <c r="N32" s="40" t="n">
        <v>0.5</v>
      </c>
      <c r="O32" s="670">
        <f>(N32-M32)*100.12</f>
        <v/>
      </c>
      <c r="P32" s="670">
        <f>G32*O32*2*PI()/60/1000</f>
        <v/>
      </c>
      <c r="Q32" s="33" t="inlineStr">
        <is>
          <t>PASS</t>
        </is>
      </c>
      <c r="R32" s="44" t="n"/>
    </row>
    <row customHeight="1" ht="20.1" r="33">
      <c r="A33" s="31" t="n">
        <v>16</v>
      </c>
      <c r="B33" s="32" t="n">
        <v>6000</v>
      </c>
      <c r="C33" s="33" t="n">
        <v>6000</v>
      </c>
      <c r="D33" s="34" t="n"/>
      <c r="E33" s="38" t="n">
        <v>100</v>
      </c>
      <c r="F33" s="39" t="n"/>
      <c r="G33" s="33" t="n"/>
      <c r="H33" s="33" t="n"/>
      <c r="I33" s="38">
        <f>E33</f>
        <v/>
      </c>
      <c r="J33" s="39" t="n"/>
      <c r="K33" s="33" t="n"/>
      <c r="L33" s="33" t="n"/>
      <c r="M33" s="40" t="n">
        <v>0</v>
      </c>
      <c r="N33" s="40" t="n">
        <v>1</v>
      </c>
      <c r="O33" s="670">
        <f>(N33-M33)*100.12</f>
        <v/>
      </c>
      <c r="P33" s="670">
        <f>G33*O33*2*PI()/60/1000</f>
        <v/>
      </c>
      <c r="Q33" s="33" t="inlineStr">
        <is>
          <t>PASS</t>
        </is>
      </c>
      <c r="R33" s="44" t="n"/>
    </row>
    <row customHeight="1" ht="20.1" r="34">
      <c r="A34" s="31" t="n">
        <v>17</v>
      </c>
      <c r="B34" s="32" t="n">
        <v>7000</v>
      </c>
      <c r="C34" s="33" t="n">
        <v>7000</v>
      </c>
      <c r="D34" s="34" t="n"/>
      <c r="E34" s="38" t="n">
        <v>50</v>
      </c>
      <c r="F34" s="39" t="n"/>
      <c r="G34" s="33" t="n"/>
      <c r="H34" s="33" t="n"/>
      <c r="I34" s="38">
        <f>E34</f>
        <v/>
      </c>
      <c r="J34" s="39" t="n"/>
      <c r="K34" s="33" t="n"/>
      <c r="L34" s="33" t="n"/>
      <c r="M34" s="40" t="n">
        <v>0</v>
      </c>
      <c r="N34" s="40" t="n">
        <v>0.5</v>
      </c>
      <c r="O34" s="670">
        <f>(N34-M34)*100.12</f>
        <v/>
      </c>
      <c r="P34" s="670">
        <f>G34*O34*2*PI()/60/1000</f>
        <v/>
      </c>
      <c r="Q34" s="33" t="inlineStr">
        <is>
          <t>PASS</t>
        </is>
      </c>
      <c r="R34" s="44" t="n"/>
    </row>
    <row customHeight="1" ht="20.1" r="35">
      <c r="A35" s="31" t="n">
        <v>18</v>
      </c>
      <c r="B35" s="32" t="n">
        <v>7000</v>
      </c>
      <c r="C35" s="35" t="n">
        <v>7000</v>
      </c>
      <c r="D35" s="34" t="n"/>
      <c r="E35" s="38" t="n">
        <v>100</v>
      </c>
      <c r="F35" s="39" t="n"/>
      <c r="G35" s="33" t="n"/>
      <c r="H35" s="33" t="n"/>
      <c r="I35" s="38">
        <f>E35</f>
        <v/>
      </c>
      <c r="J35" s="39" t="n"/>
      <c r="K35" s="33" t="n"/>
      <c r="L35" s="33" t="n"/>
      <c r="M35" s="40" t="n">
        <v>0</v>
      </c>
      <c r="N35" s="40" t="n">
        <v>1</v>
      </c>
      <c r="O35" s="670">
        <f>(N35-M35)*100.12</f>
        <v/>
      </c>
      <c r="P35" s="670">
        <f>G35*O35*2*PI()/60/1000</f>
        <v/>
      </c>
      <c r="Q35" s="33" t="inlineStr">
        <is>
          <t>PASS</t>
        </is>
      </c>
      <c r="R35" s="44" t="n"/>
    </row>
    <row customHeight="1" ht="20.1" r="36">
      <c r="A36" s="31" t="n">
        <v>19</v>
      </c>
      <c r="B36" s="32" t="n">
        <v>8000</v>
      </c>
      <c r="C36" s="33" t="n">
        <v>8000</v>
      </c>
      <c r="D36" s="34" t="n"/>
      <c r="E36" s="38" t="n">
        <v>50</v>
      </c>
      <c r="F36" s="33" t="n"/>
      <c r="G36" s="33" t="n"/>
      <c r="H36" s="33" t="n"/>
      <c r="I36" s="38">
        <f>E36</f>
        <v/>
      </c>
      <c r="J36" s="33" t="n"/>
      <c r="K36" s="33" t="n"/>
      <c r="L36" s="33" t="n"/>
      <c r="M36" s="40" t="n">
        <v>0</v>
      </c>
      <c r="N36" s="40" t="n">
        <v>0.5</v>
      </c>
      <c r="O36" s="670">
        <f>(N36-M36)*100.12</f>
        <v/>
      </c>
      <c r="P36" s="670">
        <f>G36*O36*2*PI()/60/1000</f>
        <v/>
      </c>
      <c r="Q36" s="33" t="inlineStr">
        <is>
          <t>PASS</t>
        </is>
      </c>
      <c r="R36" s="44" t="n"/>
    </row>
    <row customHeight="1" ht="20.1" r="37">
      <c r="A37" s="31" t="n">
        <v>20</v>
      </c>
      <c r="B37" s="32" t="n">
        <v>8000</v>
      </c>
      <c r="C37" s="33" t="n">
        <v>8000</v>
      </c>
      <c r="D37" s="34" t="n"/>
      <c r="E37" s="38" t="n">
        <v>100</v>
      </c>
      <c r="F37" s="33" t="n"/>
      <c r="G37" s="33" t="n"/>
      <c r="H37" s="33" t="n"/>
      <c r="I37" s="38">
        <f>E37</f>
        <v/>
      </c>
      <c r="J37" s="33" t="n"/>
      <c r="K37" s="33" t="n"/>
      <c r="L37" s="33" t="n"/>
      <c r="M37" s="40" t="n">
        <v>0</v>
      </c>
      <c r="N37" s="40" t="n">
        <v>1</v>
      </c>
      <c r="O37" s="670">
        <f>(N37-M37)*100.12</f>
        <v/>
      </c>
      <c r="P37" s="670">
        <f>G37*O37*2*PI()/60/1000</f>
        <v/>
      </c>
      <c r="Q37" s="33" t="inlineStr">
        <is>
          <t>PASS</t>
        </is>
      </c>
      <c r="R37" s="44" t="n"/>
    </row>
    <row customHeight="1" ht="20.1" r="38">
      <c r="A38" s="31" t="n">
        <v>21</v>
      </c>
      <c r="B38" s="32" t="n">
        <v>9000</v>
      </c>
      <c r="C38" s="33" t="n">
        <v>9000</v>
      </c>
      <c r="D38" s="34" t="n"/>
      <c r="E38" s="38" t="n">
        <v>50</v>
      </c>
      <c r="F38" s="33" t="n"/>
      <c r="G38" s="33" t="n"/>
      <c r="H38" s="33" t="n"/>
      <c r="I38" s="38">
        <f>E38</f>
        <v/>
      </c>
      <c r="J38" s="33" t="n"/>
      <c r="K38" s="33" t="n"/>
      <c r="L38" s="33" t="n"/>
      <c r="M38" s="40" t="n">
        <v>0</v>
      </c>
      <c r="N38" s="40" t="n">
        <v>0.5</v>
      </c>
      <c r="O38" s="670">
        <f>(N38-M38)*100.12</f>
        <v/>
      </c>
      <c r="P38" s="670">
        <f>G38*O38*2*PI()/60/1000</f>
        <v/>
      </c>
      <c r="Q38" s="33" t="inlineStr">
        <is>
          <t>PASS</t>
        </is>
      </c>
      <c r="R38" s="44" t="n"/>
    </row>
    <row customHeight="1" ht="20.1" r="39">
      <c r="A39" s="31" t="n">
        <v>22</v>
      </c>
      <c r="B39" s="32" t="n">
        <v>9000</v>
      </c>
      <c r="C39" s="33" t="n">
        <v>9000</v>
      </c>
      <c r="D39" s="34" t="n"/>
      <c r="E39" s="38" t="n">
        <v>100</v>
      </c>
      <c r="F39" s="33" t="n"/>
      <c r="G39" s="33" t="n"/>
      <c r="H39" s="33" t="n"/>
      <c r="I39" s="38">
        <f>E39</f>
        <v/>
      </c>
      <c r="J39" s="33" t="n"/>
      <c r="K39" s="33" t="n"/>
      <c r="L39" s="33" t="n"/>
      <c r="M39" s="40" t="n">
        <v>0</v>
      </c>
      <c r="N39" s="40" t="n">
        <v>1</v>
      </c>
      <c r="O39" s="670">
        <f>(N39-M39)*100.12</f>
        <v/>
      </c>
      <c r="P39" s="670">
        <f>G39*O39*2*PI()/60/1000</f>
        <v/>
      </c>
      <c r="Q39" s="33" t="inlineStr">
        <is>
          <t>PASS</t>
        </is>
      </c>
      <c r="R39" s="44" t="n"/>
    </row>
    <row customHeight="1" ht="20.1" r="40">
      <c r="A40" s="31" t="n">
        <v>23</v>
      </c>
      <c r="B40" s="32" t="n">
        <v>1000</v>
      </c>
      <c r="C40" s="33" t="n">
        <v>1000</v>
      </c>
      <c r="D40" s="34" t="n"/>
      <c r="E40" s="38" t="n">
        <v>50</v>
      </c>
      <c r="F40" s="33" t="n"/>
      <c r="G40" s="33" t="n"/>
      <c r="H40" s="33" t="n"/>
      <c r="I40" s="38">
        <f>E40</f>
        <v/>
      </c>
      <c r="J40" s="33" t="n"/>
      <c r="K40" s="33" t="n"/>
      <c r="L40" s="33" t="n"/>
      <c r="M40" s="40" t="n">
        <v>0</v>
      </c>
      <c r="N40" s="40" t="n">
        <v>0.5</v>
      </c>
      <c r="O40" s="670">
        <f>(N40-M40)*100.12</f>
        <v/>
      </c>
      <c r="P40" s="670">
        <f>G40*O40*2*PI()/60/1000</f>
        <v/>
      </c>
      <c r="Q40" s="33" t="inlineStr">
        <is>
          <t>PASS</t>
        </is>
      </c>
      <c r="R40" s="44" t="n"/>
    </row>
    <row customHeight="1" ht="20.1" r="41">
      <c r="A41" s="31" t="n">
        <v>24</v>
      </c>
      <c r="B41" s="32" t="n">
        <v>1000</v>
      </c>
      <c r="C41" s="33" t="n">
        <v>1000</v>
      </c>
      <c r="D41" s="34" t="n"/>
      <c r="E41" s="38" t="n">
        <v>0</v>
      </c>
      <c r="F41" s="33" t="n"/>
      <c r="G41" s="33" t="n"/>
      <c r="H41" s="33" t="n"/>
      <c r="I41" s="38">
        <f>E41</f>
        <v/>
      </c>
      <c r="J41" s="33" t="n"/>
      <c r="K41" s="33" t="n"/>
      <c r="L41" s="33" t="n"/>
      <c r="M41" s="40" t="n">
        <v>0</v>
      </c>
      <c r="N41" s="42" t="n">
        <v>0</v>
      </c>
      <c r="O41" s="670">
        <f>(N41-M41)*100.12</f>
        <v/>
      </c>
      <c r="P41" s="670">
        <f>G41*O41*2*PI()/60/1000</f>
        <v/>
      </c>
      <c r="Q41" s="33" t="inlineStr">
        <is>
          <t>PASS</t>
        </is>
      </c>
      <c r="R41" s="44" t="n"/>
    </row>
    <row customHeight="1" ht="20.1" r="42">
      <c r="A42" s="31" t="n">
        <v>25</v>
      </c>
      <c r="B42" s="32" t="n">
        <v>-1000</v>
      </c>
      <c r="C42" s="33" t="n">
        <v>-1000</v>
      </c>
      <c r="D42" s="34" t="n"/>
      <c r="E42" s="38" t="n">
        <v>-50</v>
      </c>
      <c r="F42" s="33" t="n"/>
      <c r="G42" s="33" t="n"/>
      <c r="H42" s="33" t="n"/>
      <c r="I42" s="38">
        <f>E42</f>
        <v/>
      </c>
      <c r="J42" s="33" t="n"/>
      <c r="K42" s="33" t="n"/>
      <c r="L42" s="33" t="n"/>
      <c r="M42" s="40" t="n">
        <v>0</v>
      </c>
      <c r="N42" s="42" t="n">
        <v>-0.5</v>
      </c>
      <c r="O42" s="670">
        <f>(N42-M42)*100.12</f>
        <v/>
      </c>
      <c r="P42" s="670">
        <f>G42*O42*2*PI()/60/1000</f>
        <v/>
      </c>
      <c r="Q42" s="33" t="inlineStr">
        <is>
          <t>PASS</t>
        </is>
      </c>
      <c r="R42" s="44" t="n"/>
    </row>
    <row customHeight="1" ht="20.1" r="43">
      <c r="A43" s="31" t="n">
        <v>26</v>
      </c>
      <c r="B43" s="32" t="n">
        <v>-1000</v>
      </c>
      <c r="C43" s="33" t="n">
        <v>-1000</v>
      </c>
      <c r="D43" s="34" t="n"/>
      <c r="E43" s="38" t="n">
        <v>-100</v>
      </c>
      <c r="F43" s="33" t="n"/>
      <c r="G43" s="33" t="n"/>
      <c r="H43" s="33" t="n"/>
      <c r="I43" s="38">
        <f>E43</f>
        <v/>
      </c>
      <c r="J43" s="33" t="n"/>
      <c r="K43" s="33" t="n"/>
      <c r="L43" s="33" t="n"/>
      <c r="M43" s="40" t="n">
        <v>0</v>
      </c>
      <c r="N43" s="42" t="n">
        <v>-1</v>
      </c>
      <c r="O43" s="670">
        <f>(N43-M43)*100.12</f>
        <v/>
      </c>
      <c r="P43" s="670">
        <f>G43*O43*2*PI()/60/1000</f>
        <v/>
      </c>
      <c r="Q43" s="33" t="inlineStr">
        <is>
          <t>PASS</t>
        </is>
      </c>
      <c r="R43" s="44" t="n"/>
    </row>
    <row customHeight="1" ht="20.1" r="44">
      <c r="A44" s="31" t="n">
        <v>27</v>
      </c>
      <c r="B44" s="32" t="n">
        <v>-1000</v>
      </c>
      <c r="C44" s="33" t="n">
        <v>-1000</v>
      </c>
      <c r="D44" s="34" t="n"/>
      <c r="E44" s="38" t="n">
        <v>-150</v>
      </c>
      <c r="F44" s="33" t="n"/>
      <c r="G44" s="33" t="n"/>
      <c r="H44" s="33" t="n"/>
      <c r="I44" s="38">
        <f>E44</f>
        <v/>
      </c>
      <c r="J44" s="33" t="n"/>
      <c r="K44" s="33" t="n"/>
      <c r="L44" s="33" t="n"/>
      <c r="M44" s="40" t="n">
        <v>0</v>
      </c>
      <c r="N44" s="42" t="n">
        <v>-1.5</v>
      </c>
      <c r="O44" s="670">
        <f>(N44-M44)*100.12</f>
        <v/>
      </c>
      <c r="P44" s="670">
        <f>G44*O44*2*PI()/60/1000</f>
        <v/>
      </c>
      <c r="Q44" s="33" t="inlineStr">
        <is>
          <t>PASS</t>
        </is>
      </c>
      <c r="R44" s="44" t="n"/>
    </row>
    <row customHeight="1" ht="20.1" r="45">
      <c r="A45" s="31" t="n">
        <v>28</v>
      </c>
      <c r="B45" s="32" t="n">
        <v>-2000</v>
      </c>
      <c r="C45" s="33" t="n">
        <v>-2000</v>
      </c>
      <c r="D45" s="34" t="n"/>
      <c r="E45" s="38" t="n">
        <v>-50</v>
      </c>
      <c r="F45" s="33" t="n"/>
      <c r="G45" s="33" t="n"/>
      <c r="H45" s="33" t="n"/>
      <c r="I45" s="38">
        <f>E45</f>
        <v/>
      </c>
      <c r="J45" s="33" t="n"/>
      <c r="K45" s="33" t="n"/>
      <c r="L45" s="33" t="n"/>
      <c r="M45" s="40" t="n">
        <v>0</v>
      </c>
      <c r="N45" s="42" t="n">
        <v>-0.5</v>
      </c>
      <c r="O45" s="670">
        <f>(N45-M45)*100.12</f>
        <v/>
      </c>
      <c r="P45" s="670">
        <f>G45*O45*2*PI()/60/1000</f>
        <v/>
      </c>
      <c r="Q45" s="33" t="inlineStr">
        <is>
          <t>PASS</t>
        </is>
      </c>
      <c r="R45" s="44" t="n"/>
    </row>
    <row customHeight="1" ht="20.1" r="46">
      <c r="A46" s="31" t="n">
        <v>29</v>
      </c>
      <c r="B46" s="32" t="n">
        <v>-2000</v>
      </c>
      <c r="C46" s="33" t="n">
        <v>-2000</v>
      </c>
      <c r="D46" s="34" t="n"/>
      <c r="E46" s="38" t="n">
        <v>-100</v>
      </c>
      <c r="F46" s="33" t="n"/>
      <c r="G46" s="33" t="n"/>
      <c r="H46" s="33" t="n"/>
      <c r="I46" s="38">
        <f>E46</f>
        <v/>
      </c>
      <c r="J46" s="33" t="n"/>
      <c r="K46" s="33" t="n"/>
      <c r="L46" s="33" t="n"/>
      <c r="M46" s="40" t="n">
        <v>0</v>
      </c>
      <c r="N46" s="42" t="n">
        <v>-1</v>
      </c>
      <c r="O46" s="670">
        <f>(N46-M46)*100.12</f>
        <v/>
      </c>
      <c r="P46" s="670">
        <f>G46*O46*2*PI()/60/1000</f>
        <v/>
      </c>
      <c r="Q46" s="33" t="inlineStr">
        <is>
          <t>PASS</t>
        </is>
      </c>
      <c r="R46" s="44" t="n"/>
    </row>
    <row customHeight="1" ht="20.1" r="47">
      <c r="A47" s="31" t="n">
        <v>30</v>
      </c>
      <c r="B47" s="32" t="n">
        <v>-2000</v>
      </c>
      <c r="C47" s="33" t="n">
        <v>-2000</v>
      </c>
      <c r="D47" s="34" t="n"/>
      <c r="E47" s="38" t="n">
        <v>-150</v>
      </c>
      <c r="F47" s="33" t="n"/>
      <c r="G47" s="33" t="n"/>
      <c r="H47" s="33" t="n"/>
      <c r="I47" s="38">
        <f>E47</f>
        <v/>
      </c>
      <c r="J47" s="33" t="n"/>
      <c r="K47" s="33" t="n"/>
      <c r="L47" s="33" t="n"/>
      <c r="M47" s="40" t="n">
        <v>0</v>
      </c>
      <c r="N47" s="42" t="n">
        <v>-1.5</v>
      </c>
      <c r="O47" s="670">
        <f>(N47-M47)*100.12</f>
        <v/>
      </c>
      <c r="P47" s="670">
        <f>G47*O47*2*PI()/60/1000</f>
        <v/>
      </c>
      <c r="Q47" s="33" t="inlineStr">
        <is>
          <t>PASS</t>
        </is>
      </c>
      <c r="R47" s="44" t="n"/>
    </row>
    <row customHeight="1" ht="20.1" r="48">
      <c r="A48" s="31" t="n">
        <v>31</v>
      </c>
      <c r="B48" s="32" t="n">
        <v>-3000</v>
      </c>
      <c r="C48" s="33" t="n">
        <v>-3000</v>
      </c>
      <c r="D48" s="34" t="n"/>
      <c r="E48" s="38" t="n">
        <v>-50</v>
      </c>
      <c r="F48" s="33" t="n"/>
      <c r="G48" s="33" t="n"/>
      <c r="H48" s="33" t="n"/>
      <c r="I48" s="38">
        <f>E48</f>
        <v/>
      </c>
      <c r="J48" s="33" t="n"/>
      <c r="K48" s="33" t="n"/>
      <c r="L48" s="33" t="n"/>
      <c r="M48" s="40" t="n">
        <v>0</v>
      </c>
      <c r="N48" s="42" t="n">
        <v>-0.5</v>
      </c>
      <c r="O48" s="670">
        <f>(N48-M48)*100.12</f>
        <v/>
      </c>
      <c r="P48" s="670">
        <f>G48*O48*2*PI()/60/1000</f>
        <v/>
      </c>
      <c r="Q48" s="33" t="inlineStr">
        <is>
          <t>PASS</t>
        </is>
      </c>
      <c r="R48" s="44" t="n"/>
    </row>
    <row customHeight="1" ht="20.1" r="49">
      <c r="A49" s="31" t="n">
        <v>32</v>
      </c>
      <c r="B49" s="32" t="n">
        <v>-3000</v>
      </c>
      <c r="C49" s="33" t="n">
        <v>-3000</v>
      </c>
      <c r="D49" s="34" t="n"/>
      <c r="E49" s="38" t="n">
        <v>-100</v>
      </c>
      <c r="F49" s="33" t="n"/>
      <c r="G49" s="33" t="n"/>
      <c r="H49" s="33" t="n"/>
      <c r="I49" s="38">
        <f>E49</f>
        <v/>
      </c>
      <c r="J49" s="33" t="n"/>
      <c r="K49" s="33" t="n"/>
      <c r="L49" s="33" t="n"/>
      <c r="M49" s="40" t="n">
        <v>0</v>
      </c>
      <c r="N49" s="42" t="n">
        <v>-1</v>
      </c>
      <c r="O49" s="670">
        <f>(N49-M49)*100.12</f>
        <v/>
      </c>
      <c r="P49" s="670">
        <f>G49*O49*2*PI()/60/1000</f>
        <v/>
      </c>
      <c r="Q49" s="33" t="inlineStr">
        <is>
          <t>PASS</t>
        </is>
      </c>
      <c r="R49" s="44" t="n"/>
    </row>
    <row customHeight="1" ht="20.1" r="50">
      <c r="A50" s="31" t="n">
        <v>33</v>
      </c>
      <c r="B50" s="32" t="n">
        <v>-3000</v>
      </c>
      <c r="C50" s="33" t="n">
        <v>-3000</v>
      </c>
      <c r="D50" s="33" t="n"/>
      <c r="E50" s="38" t="n">
        <v>-150</v>
      </c>
      <c r="F50" s="33" t="n"/>
      <c r="G50" s="33" t="n"/>
      <c r="H50" s="33" t="n"/>
      <c r="I50" s="38">
        <f>E50</f>
        <v/>
      </c>
      <c r="J50" s="33" t="n"/>
      <c r="K50" s="33" t="n"/>
      <c r="L50" s="33" t="n"/>
      <c r="M50" s="40" t="n">
        <v>0</v>
      </c>
      <c r="N50" s="42" t="n">
        <v>-1.5</v>
      </c>
      <c r="O50" s="670">
        <f>(N50-M50)*100.12</f>
        <v/>
      </c>
      <c r="P50" s="670">
        <f>G50*O50*2*PI()/60/1000</f>
        <v/>
      </c>
      <c r="Q50" s="33" t="inlineStr">
        <is>
          <t>PASS</t>
        </is>
      </c>
      <c r="R50" s="44" t="n"/>
    </row>
    <row customHeight="1" ht="20.1" r="51">
      <c r="A51" s="31" t="n">
        <v>34</v>
      </c>
      <c r="B51" s="32" t="n">
        <v>-4000</v>
      </c>
      <c r="C51" s="33" t="n">
        <v>-4000</v>
      </c>
      <c r="D51" s="33" t="n"/>
      <c r="E51" s="38" t="n">
        <v>-50</v>
      </c>
      <c r="F51" s="33" t="n"/>
      <c r="G51" s="33" t="n"/>
      <c r="H51" s="33" t="n"/>
      <c r="I51" s="38">
        <f>E51</f>
        <v/>
      </c>
      <c r="J51" s="33" t="n"/>
      <c r="K51" s="33" t="n"/>
      <c r="L51" s="33" t="n"/>
      <c r="M51" s="40" t="n">
        <v>0</v>
      </c>
      <c r="N51" s="42" t="n">
        <v>-0.5</v>
      </c>
      <c r="O51" s="670">
        <f>(N51-M51)*100.12</f>
        <v/>
      </c>
      <c r="P51" s="670">
        <f>G51*O51*2*PI()/60/1000</f>
        <v/>
      </c>
      <c r="Q51" s="33" t="inlineStr">
        <is>
          <t>PASS</t>
        </is>
      </c>
      <c r="R51" s="44" t="n"/>
    </row>
    <row customHeight="1" ht="20.1" r="52">
      <c r="A52" s="31" t="n">
        <v>35</v>
      </c>
      <c r="B52" s="32" t="n">
        <v>-4000</v>
      </c>
      <c r="C52" s="33" t="n">
        <v>-4000</v>
      </c>
      <c r="D52" s="33" t="n"/>
      <c r="E52" s="38" t="n">
        <v>-100</v>
      </c>
      <c r="F52" s="33" t="n"/>
      <c r="G52" s="33" t="n"/>
      <c r="H52" s="33" t="n"/>
      <c r="I52" s="38">
        <f>E52</f>
        <v/>
      </c>
      <c r="J52" s="33" t="n"/>
      <c r="K52" s="33" t="n"/>
      <c r="L52" s="33" t="n"/>
      <c r="M52" s="40" t="n">
        <v>0</v>
      </c>
      <c r="N52" s="42" t="n">
        <v>-1</v>
      </c>
      <c r="O52" s="670">
        <f>(N52-M52)*100.12</f>
        <v/>
      </c>
      <c r="P52" s="670">
        <f>G52*O52*2*PI()/60/1000</f>
        <v/>
      </c>
      <c r="Q52" s="33" t="inlineStr">
        <is>
          <t>PASS</t>
        </is>
      </c>
      <c r="R52" s="44" t="n"/>
    </row>
    <row customHeight="1" ht="20.1" r="53">
      <c r="A53" s="31" t="n">
        <v>36</v>
      </c>
      <c r="B53" s="32" t="n">
        <v>-4000</v>
      </c>
      <c r="C53" s="33" t="n">
        <v>-4000</v>
      </c>
      <c r="D53" s="33" t="n"/>
      <c r="E53" s="38" t="n">
        <v>-150</v>
      </c>
      <c r="F53" s="33" t="n"/>
      <c r="G53" s="33" t="n"/>
      <c r="H53" s="33" t="n"/>
      <c r="I53" s="38">
        <f>E53</f>
        <v/>
      </c>
      <c r="J53" s="33" t="n"/>
      <c r="K53" s="33" t="n"/>
      <c r="L53" s="33" t="n"/>
      <c r="M53" s="40" t="n">
        <v>0</v>
      </c>
      <c r="N53" s="42" t="n">
        <v>-1.5</v>
      </c>
      <c r="O53" s="670">
        <f>(N53-M53)*100.12</f>
        <v/>
      </c>
      <c r="P53" s="670">
        <f>G53*O53*2*PI()/60/1000</f>
        <v/>
      </c>
      <c r="Q53" s="33" t="inlineStr">
        <is>
          <t>PASS</t>
        </is>
      </c>
      <c r="R53" s="44" t="n"/>
    </row>
    <row customHeight="1" ht="20.1" r="54">
      <c r="A54" s="31" t="n">
        <v>37</v>
      </c>
      <c r="B54" s="32" t="n">
        <v>-5000</v>
      </c>
      <c r="C54" s="33" t="n">
        <v>-5000</v>
      </c>
      <c r="D54" s="33" t="n"/>
      <c r="E54" s="38" t="n">
        <v>-50</v>
      </c>
      <c r="F54" s="33" t="n"/>
      <c r="G54" s="33" t="n"/>
      <c r="H54" s="33" t="n"/>
      <c r="I54" s="38">
        <f>E54</f>
        <v/>
      </c>
      <c r="J54" s="33" t="n"/>
      <c r="K54" s="33" t="n"/>
      <c r="L54" s="33" t="n"/>
      <c r="M54" s="40" t="n">
        <v>0</v>
      </c>
      <c r="N54" s="42" t="n">
        <v>-0.5</v>
      </c>
      <c r="O54" s="670">
        <f>(N54-M54)*100.12</f>
        <v/>
      </c>
      <c r="P54" s="670">
        <f>G54*O54*2*PI()/60/1000</f>
        <v/>
      </c>
      <c r="Q54" s="33" t="inlineStr">
        <is>
          <t>PASS</t>
        </is>
      </c>
      <c r="R54" s="44" t="n"/>
    </row>
    <row customHeight="1" ht="20.1" r="55">
      <c r="A55" s="31" t="n">
        <v>38</v>
      </c>
      <c r="B55" s="32" t="n">
        <v>-5000</v>
      </c>
      <c r="C55" s="33" t="n">
        <v>-5000</v>
      </c>
      <c r="D55" s="33" t="n"/>
      <c r="E55" s="38" t="n">
        <v>-100</v>
      </c>
      <c r="F55" s="33" t="n"/>
      <c r="G55" s="33" t="n"/>
      <c r="H55" s="33" t="n"/>
      <c r="I55" s="38">
        <f>E55</f>
        <v/>
      </c>
      <c r="J55" s="33" t="n"/>
      <c r="K55" s="33" t="n"/>
      <c r="L55" s="33" t="n"/>
      <c r="M55" s="40" t="n">
        <v>0</v>
      </c>
      <c r="N55" s="42" t="n">
        <v>-1</v>
      </c>
      <c r="O55" s="670">
        <f>(N55-M55)*100.12</f>
        <v/>
      </c>
      <c r="P55" s="670">
        <f>G55*O55*2*PI()/60/1000</f>
        <v/>
      </c>
      <c r="Q55" s="33" t="inlineStr">
        <is>
          <t>PASS</t>
        </is>
      </c>
      <c r="R55" s="44" t="n"/>
    </row>
    <row customHeight="1" ht="20.1" r="56">
      <c r="A56" s="31" t="n">
        <v>39</v>
      </c>
      <c r="B56" s="32" t="n">
        <v>-6000</v>
      </c>
      <c r="C56" s="33" t="n">
        <v>-6000</v>
      </c>
      <c r="D56" s="33" t="n"/>
      <c r="E56" s="38" t="n">
        <v>-50</v>
      </c>
      <c r="F56" s="33" t="n"/>
      <c r="G56" s="33" t="n"/>
      <c r="H56" s="33" t="n"/>
      <c r="I56" s="38">
        <f>E56</f>
        <v/>
      </c>
      <c r="J56" s="33" t="n"/>
      <c r="K56" s="33" t="n"/>
      <c r="L56" s="33" t="n"/>
      <c r="M56" s="40" t="n">
        <v>0</v>
      </c>
      <c r="N56" s="42" t="n">
        <v>-0.5</v>
      </c>
      <c r="O56" s="670">
        <f>(N56-M56)*100.12</f>
        <v/>
      </c>
      <c r="P56" s="670">
        <f>G56*O56*2*PI()/60/1000</f>
        <v/>
      </c>
      <c r="Q56" s="33" t="inlineStr">
        <is>
          <t>PASS</t>
        </is>
      </c>
      <c r="R56" s="44" t="n"/>
    </row>
    <row customHeight="1" ht="20.1" r="57">
      <c r="A57" s="31" t="n">
        <v>40</v>
      </c>
      <c r="B57" s="32" t="n">
        <v>-6000</v>
      </c>
      <c r="C57" s="33" t="n">
        <v>-6000</v>
      </c>
      <c r="D57" s="33" t="n"/>
      <c r="E57" s="38" t="n">
        <v>-100</v>
      </c>
      <c r="F57" s="33" t="n"/>
      <c r="G57" s="33" t="n"/>
      <c r="H57" s="33" t="n"/>
      <c r="I57" s="38">
        <f>E57</f>
        <v/>
      </c>
      <c r="J57" s="33" t="n"/>
      <c r="K57" s="33" t="n"/>
      <c r="L57" s="33" t="n"/>
      <c r="M57" s="40" t="n">
        <v>0</v>
      </c>
      <c r="N57" s="42" t="n">
        <v>-1</v>
      </c>
      <c r="O57" s="670">
        <f>(N57-M57)*100.12</f>
        <v/>
      </c>
      <c r="P57" s="670">
        <f>G57*O57*2*PI()/60/1000</f>
        <v/>
      </c>
      <c r="Q57" s="33" t="inlineStr">
        <is>
          <t>PASS</t>
        </is>
      </c>
      <c r="R57" s="44" t="n"/>
    </row>
    <row customHeight="1" ht="20.1" r="58">
      <c r="A58" s="31" t="n">
        <v>41</v>
      </c>
      <c r="B58" s="32" t="n">
        <v>-7000</v>
      </c>
      <c r="C58" s="33" t="n">
        <v>-7000</v>
      </c>
      <c r="D58" s="33" t="n"/>
      <c r="E58" s="38" t="n">
        <v>-50</v>
      </c>
      <c r="F58" s="33" t="n"/>
      <c r="G58" s="33" t="n"/>
      <c r="H58" s="33" t="n"/>
      <c r="I58" s="38">
        <f>E58</f>
        <v/>
      </c>
      <c r="J58" s="33" t="n"/>
      <c r="K58" s="33" t="n"/>
      <c r="L58" s="33" t="n"/>
      <c r="M58" s="40" t="n">
        <v>0</v>
      </c>
      <c r="N58" s="42" t="n">
        <v>-0.5</v>
      </c>
      <c r="O58" s="670">
        <f>(N58-M58)*100.12</f>
        <v/>
      </c>
      <c r="P58" s="670">
        <f>G58*O58*2*PI()/60/1000</f>
        <v/>
      </c>
      <c r="Q58" s="33" t="inlineStr">
        <is>
          <t>PASS</t>
        </is>
      </c>
      <c r="R58" s="44" t="n"/>
    </row>
    <row customHeight="1" ht="20.1" r="59">
      <c r="A59" s="31" t="n">
        <v>42</v>
      </c>
      <c r="B59" s="32" t="n">
        <v>-7000</v>
      </c>
      <c r="C59" s="33" t="n">
        <v>-7000</v>
      </c>
      <c r="D59" s="33" t="n"/>
      <c r="E59" s="38" t="n">
        <v>-100</v>
      </c>
      <c r="F59" s="33" t="n"/>
      <c r="G59" s="33" t="n"/>
      <c r="H59" s="33" t="n"/>
      <c r="I59" s="38">
        <f>E59</f>
        <v/>
      </c>
      <c r="J59" s="33" t="n"/>
      <c r="K59" s="33" t="n"/>
      <c r="L59" s="33" t="n"/>
      <c r="M59" s="40" t="n">
        <v>0</v>
      </c>
      <c r="N59" s="42" t="n">
        <v>-1</v>
      </c>
      <c r="O59" s="670">
        <f>(N59-M59)*100.12</f>
        <v/>
      </c>
      <c r="P59" s="670">
        <f>G59*O59*2*PI()/60/1000</f>
        <v/>
      </c>
      <c r="Q59" s="33" t="inlineStr">
        <is>
          <t>PASS</t>
        </is>
      </c>
      <c r="R59" s="44" t="n"/>
    </row>
    <row customHeight="1" ht="20.1" r="60">
      <c r="A60" s="31" t="n">
        <v>43</v>
      </c>
      <c r="B60" s="32" t="n">
        <v>-8000</v>
      </c>
      <c r="C60" s="33" t="n">
        <v>-8000</v>
      </c>
      <c r="D60" s="33" t="n"/>
      <c r="E60" s="38" t="n">
        <v>-50</v>
      </c>
      <c r="F60" s="33" t="n"/>
      <c r="G60" s="33" t="n"/>
      <c r="H60" s="33" t="n"/>
      <c r="I60" s="38">
        <f>E60</f>
        <v/>
      </c>
      <c r="J60" s="33" t="n"/>
      <c r="K60" s="33" t="n"/>
      <c r="L60" s="33" t="n"/>
      <c r="M60" s="40" t="n">
        <v>0</v>
      </c>
      <c r="N60" s="42" t="n">
        <v>-0.5</v>
      </c>
      <c r="O60" s="670">
        <f>(N60-M60)*100.12</f>
        <v/>
      </c>
      <c r="P60" s="670">
        <f>G60*O60*2*PI()/60/1000</f>
        <v/>
      </c>
      <c r="Q60" s="33" t="inlineStr">
        <is>
          <t>PASS</t>
        </is>
      </c>
      <c r="R60" s="44" t="n"/>
    </row>
    <row customHeight="1" ht="20.1" r="61">
      <c r="A61" s="31" t="n">
        <v>44</v>
      </c>
      <c r="B61" s="32" t="n">
        <v>-8000</v>
      </c>
      <c r="C61" s="33" t="n">
        <v>-8000</v>
      </c>
      <c r="D61" s="33" t="n"/>
      <c r="E61" s="38" t="n">
        <v>-100</v>
      </c>
      <c r="F61" s="33" t="n"/>
      <c r="G61" s="33" t="n"/>
      <c r="H61" s="33" t="n"/>
      <c r="I61" s="38">
        <f>E61</f>
        <v/>
      </c>
      <c r="J61" s="33" t="n"/>
      <c r="K61" s="33" t="n"/>
      <c r="L61" s="33" t="n"/>
      <c r="M61" s="40" t="n">
        <v>0</v>
      </c>
      <c r="N61" s="42" t="n">
        <v>-1</v>
      </c>
      <c r="O61" s="670">
        <f>(N61-M61)*100.12</f>
        <v/>
      </c>
      <c r="P61" s="670">
        <f>G61*O61*2*PI()/60/1000</f>
        <v/>
      </c>
      <c r="Q61" s="33" t="inlineStr">
        <is>
          <t>PASS</t>
        </is>
      </c>
      <c r="R61" s="44" t="n"/>
    </row>
    <row customHeight="1" ht="20.1" r="62">
      <c r="A62" s="31" t="n">
        <v>45</v>
      </c>
      <c r="B62" s="32" t="n">
        <v>-9000</v>
      </c>
      <c r="C62" s="33" t="n">
        <v>-9000</v>
      </c>
      <c r="D62" s="33" t="n"/>
      <c r="E62" s="38" t="n">
        <v>-50</v>
      </c>
      <c r="F62" s="33" t="n"/>
      <c r="G62" s="33" t="n"/>
      <c r="H62" s="33" t="n"/>
      <c r="I62" s="38">
        <f>E62</f>
        <v/>
      </c>
      <c r="J62" s="33" t="n"/>
      <c r="K62" s="33" t="n"/>
      <c r="L62" s="33" t="n"/>
      <c r="M62" s="40" t="n">
        <v>0</v>
      </c>
      <c r="N62" s="42" t="n">
        <v>-0.5</v>
      </c>
      <c r="O62" s="670">
        <f>(N62-M62)*100.12</f>
        <v/>
      </c>
      <c r="P62" s="670">
        <f>G62*O62*2*PI()/60/1000</f>
        <v/>
      </c>
      <c r="Q62" s="33" t="inlineStr">
        <is>
          <t>PASS</t>
        </is>
      </c>
      <c r="R62" s="44" t="n"/>
    </row>
    <row customHeight="1" ht="20.1" r="63">
      <c r="A63" s="31" t="n">
        <v>46</v>
      </c>
      <c r="B63" s="32" t="n">
        <v>-9000</v>
      </c>
      <c r="C63" s="33" t="n">
        <v>-9000</v>
      </c>
      <c r="D63" s="33" t="n"/>
      <c r="E63" s="38" t="n">
        <v>-100</v>
      </c>
      <c r="F63" s="33" t="n"/>
      <c r="G63" s="33" t="n"/>
      <c r="H63" s="33" t="n"/>
      <c r="I63" s="38">
        <f>E63</f>
        <v/>
      </c>
      <c r="J63" s="33" t="n"/>
      <c r="K63" s="33" t="n"/>
      <c r="L63" s="33" t="n"/>
      <c r="M63" s="40" t="n">
        <v>0</v>
      </c>
      <c r="N63" s="42" t="n">
        <v>-1</v>
      </c>
      <c r="O63" s="670">
        <f>(N63-M63)*100.12</f>
        <v/>
      </c>
      <c r="P63" s="670">
        <f>G63*O63*2*PI()/60/1000</f>
        <v/>
      </c>
      <c r="Q63" s="33" t="inlineStr">
        <is>
          <t>PASS</t>
        </is>
      </c>
      <c r="R63" s="44" t="n"/>
    </row>
    <row customHeight="1" ht="20.1" r="64">
      <c r="A64" s="31" t="n">
        <v>47</v>
      </c>
      <c r="B64" s="32" t="n">
        <v>-1000</v>
      </c>
      <c r="C64" s="33" t="n">
        <v>-1000</v>
      </c>
      <c r="D64" s="33" t="n"/>
      <c r="E64" s="38" t="n">
        <v>-50</v>
      </c>
      <c r="F64" s="33" t="n"/>
      <c r="G64" s="33" t="n"/>
      <c r="H64" s="33" t="n"/>
      <c r="I64" s="38">
        <f>E64</f>
        <v/>
      </c>
      <c r="J64" s="33" t="n"/>
      <c r="K64" s="33" t="n"/>
      <c r="L64" s="33" t="n"/>
      <c r="M64" s="40" t="n">
        <v>0</v>
      </c>
      <c r="N64" s="42" t="n">
        <v>-0.5</v>
      </c>
      <c r="O64" s="670">
        <f>(N64-M64)*100.12</f>
        <v/>
      </c>
      <c r="P64" s="670">
        <f>G64*O64*2*PI()/60/1000</f>
        <v/>
      </c>
      <c r="Q64" s="33" t="inlineStr">
        <is>
          <t>PASS</t>
        </is>
      </c>
      <c r="R64" s="44" t="n"/>
    </row>
  </sheetData>
  <mergeCells count="26">
    <mergeCell ref="D1:P1"/>
    <mergeCell ref="D2:P2"/>
    <mergeCell ref="A3:R3"/>
    <mergeCell ref="A4:B4"/>
    <mergeCell ref="C4:D4"/>
    <mergeCell ref="A5:B5"/>
    <mergeCell ref="C5:D5"/>
    <mergeCell ref="A6:B6"/>
    <mergeCell ref="C6:D6"/>
    <mergeCell ref="A7:B7"/>
    <mergeCell ref="C7:D7"/>
    <mergeCell ref="A8:B8"/>
    <mergeCell ref="A9:B9"/>
    <mergeCell ref="A10:B10"/>
    <mergeCell ref="A11:B11"/>
    <mergeCell ref="A12:B12"/>
    <mergeCell ref="A13:B13"/>
    <mergeCell ref="A14:B14"/>
    <mergeCell ref="E15:P15"/>
    <mergeCell ref="E16:H16"/>
    <mergeCell ref="I16:L16"/>
    <mergeCell ref="M16:P16"/>
    <mergeCell ref="A15:A17"/>
    <mergeCell ref="Q15:Q16"/>
    <mergeCell ref="R15:R16"/>
    <mergeCell ref="B15:D16"/>
  </mergeCells>
  <conditionalFormatting sqref="A4">
    <cfRule dxfId="0" priority="82" type="expression">
      <formula>'/MAGELEC/Motor Test Files/M21R/A04-004/[M21R Design Verification Test Table Rev 21thJune.xlsx]Peak Curve'!#REF!="FAILED"</formula>
    </cfRule>
  </conditionalFormatting>
  <conditionalFormatting sqref="C5">
    <cfRule dxfId="0" priority="19" type="expression">
      <formula>#REF!="FAILED"</formula>
    </cfRule>
  </conditionalFormatting>
  <conditionalFormatting sqref="C6">
    <cfRule dxfId="0" priority="18" type="expression">
      <formula>#REF!="FAILED"</formula>
    </cfRule>
  </conditionalFormatting>
  <conditionalFormatting sqref="C7">
    <cfRule dxfId="0" priority="3" type="expression">
      <formula>#REF!="FAILED"</formula>
    </cfRule>
  </conditionalFormatting>
  <conditionalFormatting sqref="A8">
    <cfRule dxfId="0" priority="85" type="expression">
      <formula>'/MAGELEC/Motor Test Files/M21R/A04-004/[M21R Design Verification Test Table Rev 21thJune.xlsx]Peak Curve'!#REF!="FAILED"</formula>
    </cfRule>
  </conditionalFormatting>
  <conditionalFormatting sqref="C8:D8">
    <cfRule dxfId="0" priority="84" type="expression">
      <formula>'/MAGELEC/Motor Test Files/M21R/A04-004/[M21R Design Verification Test Table Rev 21thJune.xlsx]Peak Curve'!#REF!="FAILED"</formula>
    </cfRule>
  </conditionalFormatting>
  <conditionalFormatting sqref="C9:D9">
    <cfRule dxfId="0" priority="91" type="expression">
      <formula>#REF!="FAILED"</formula>
    </cfRule>
  </conditionalFormatting>
  <conditionalFormatting sqref="C10:D10">
    <cfRule dxfId="0" priority="87" type="expression">
      <formula>#REF!="FAILED"</formula>
    </cfRule>
  </conditionalFormatting>
  <conditionalFormatting sqref="C13">
    <cfRule dxfId="0" priority="2" type="expression">
      <formula>#REF!="FAILED"</formula>
    </cfRule>
  </conditionalFormatting>
  <conditionalFormatting sqref="D13">
    <cfRule dxfId="0" priority="1" type="expression">
      <formula>#REF!="FAILED"</formula>
    </cfRule>
  </conditionalFormatting>
  <conditionalFormatting sqref="A15">
    <cfRule dxfId="0" priority="65" type="expression">
      <formula>'/MAGELEC/Motor Test Files/M21R/A04-004/[M21R Design Verification Test Table Rev 21thJune.xlsx]Peak Curve'!#REF!="FAILED"</formula>
    </cfRule>
  </conditionalFormatting>
  <conditionalFormatting sqref="K18">
    <cfRule dxfId="0" priority="16" type="expression">
      <formula>#REF!="FAILED"</formula>
    </cfRule>
  </conditionalFormatting>
  <conditionalFormatting sqref="L18">
    <cfRule dxfId="0" priority="17" type="expression">
      <formula>#REF!="FAILED"</formula>
    </cfRule>
  </conditionalFormatting>
  <conditionalFormatting sqref="N40">
    <cfRule dxfId="0" priority="4" type="expression">
      <formula>#REF!="FAILED"</formula>
    </cfRule>
  </conditionalFormatting>
  <conditionalFormatting sqref="A18:A64">
    <cfRule dxfId="0" priority="66" type="expression">
      <formula>'/MAGELEC/Motor Test Files/M21R/A04-004/[M21R Design Verification Test Table Rev 21thJune.xlsx]Peak Curve'!#REF!="FAILED"</formula>
    </cfRule>
  </conditionalFormatting>
  <conditionalFormatting sqref="E38:E39">
    <cfRule dxfId="0" priority="15" type="expression">
      <formula>#REF!="FAILED"</formula>
    </cfRule>
  </conditionalFormatting>
  <conditionalFormatting sqref="E45:E47">
    <cfRule dxfId="0" priority="14" type="expression">
      <formula>#REF!="FAILED"</formula>
    </cfRule>
  </conditionalFormatting>
  <conditionalFormatting sqref="E48:E50">
    <cfRule dxfId="0" priority="13" type="expression">
      <formula>#REF!="FAILED"</formula>
    </cfRule>
  </conditionalFormatting>
  <conditionalFormatting sqref="E51:E53">
    <cfRule dxfId="0" priority="12" type="expression">
      <formula>#REF!="FAILED"</formula>
    </cfRule>
  </conditionalFormatting>
  <conditionalFormatting sqref="E54:E55">
    <cfRule dxfId="0" priority="11" type="expression">
      <formula>#REF!="FAILED"</formula>
    </cfRule>
  </conditionalFormatting>
  <conditionalFormatting sqref="E56:E57">
    <cfRule dxfId="0" priority="10" type="expression">
      <formula>#REF!="FAILED"</formula>
    </cfRule>
  </conditionalFormatting>
  <conditionalFormatting sqref="E58:E59">
    <cfRule dxfId="0" priority="9" type="expression">
      <formula>#REF!="FAILED"</formula>
    </cfRule>
  </conditionalFormatting>
  <conditionalFormatting sqref="E60:E61">
    <cfRule dxfId="0" priority="8" type="expression">
      <formula>#REF!="FAILED"</formula>
    </cfRule>
  </conditionalFormatting>
  <conditionalFormatting sqref="E62:E64">
    <cfRule dxfId="0" priority="7" type="expression">
      <formula>#REF!="FAILED"</formula>
    </cfRule>
  </conditionalFormatting>
  <conditionalFormatting sqref="I18:I64">
    <cfRule dxfId="0" priority="20" type="expression">
      <formula>#REF!="FAILED"</formula>
    </cfRule>
  </conditionalFormatting>
  <conditionalFormatting sqref="J18:J35">
    <cfRule dxfId="0" priority="22" type="expression">
      <formula>#REF!="FAILED"</formula>
    </cfRule>
  </conditionalFormatting>
  <conditionalFormatting sqref="N36:N37">
    <cfRule dxfId="0" priority="6" type="expression">
      <formula>#REF!="FAILED"</formula>
    </cfRule>
  </conditionalFormatting>
  <conditionalFormatting sqref="N38:N39">
    <cfRule dxfId="0" priority="5" type="expression">
      <formula>#REF!="FAILED"</formula>
    </cfRule>
  </conditionalFormatting>
  <conditionalFormatting sqref="Q18:Q64">
    <cfRule dxfId="1" priority="142" type="expression">
      <formula>#REF!="FAILURE"</formula>
    </cfRule>
    <cfRule dxfId="2" priority="143" type="expression">
      <formula>#REF!="PASS"</formula>
    </cfRule>
  </conditionalFormatting>
  <conditionalFormatting sqref="E18:E37 E40:E44">
    <cfRule dxfId="0" priority="62" type="expression">
      <formula>#REF!="FAILED"</formula>
    </cfRule>
  </conditionalFormatting>
  <conditionalFormatting sqref="F18:H18 F19:F35 M36:M64 M18:P35 O36:P64">
    <cfRule dxfId="0" priority="64" type="expression">
      <formula>#REF!="FAILED"</formula>
    </cfRule>
  </conditionalFormatting>
  <dataValidations count="7">
    <dataValidation allowBlank="0" showErrorMessage="1" showInputMessage="1" sqref="C4:D4" type="list">
      <formula1>"400"</formula1>
    </dataValidation>
    <dataValidation allowBlank="0" showErrorMessage="1" showInputMessage="1" sqref="C5:D5" type="list">
      <formula1>"Traction &amp; Speed主转速度,Generation &amp; Speed发电速度"</formula1>
    </dataValidation>
    <dataValidation allowBlank="0" showErrorMessage="1" showInputMessage="1" sqref="C9:D9 C13:D13" type="list">
      <formula1>"10,20,30"</formula1>
    </dataValidation>
    <dataValidation allowBlank="0" showErrorMessage="1" showInputMessage="1" sqref="C10:D10" type="list">
      <formula1>"&lt;100"</formula1>
    </dataValidation>
    <dataValidation allowBlank="0" showErrorMessage="1" showInputMessage="1" sqref="C11 C14:D14" type="list">
      <formula1>"20,45,55"</formula1>
    </dataValidation>
    <dataValidation allowBlank="0" showErrorMessage="1" showInputMessage="1" sqref="Q18:Q64" type="list">
      <formula1>"PASS,FAILURE"</formula1>
    </dataValidation>
    <dataValidation allowBlank="0" showErrorMessage="1" showInputMessage="1" sqref="C6:D7" type="list">
      <formula1>"Traction &amp; Torque主转扭矩,Generation &amp; Torque发电扭矩"</formula1>
    </dataValidation>
  </dataValidations>
  <pageMargins bottom="0.3" footer="0.3" header="0.3" left="0.3" right="0.3" top="0.3"/>
  <pageSetup orientation="landscape" paperSize="9"/>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5"/>
  <sheetViews>
    <sheetView topLeftCell="A7" workbookViewId="0">
      <selection activeCell="B36" sqref="B36"/>
    </sheetView>
  </sheetViews>
  <sheetFormatPr baseColWidth="8" defaultColWidth="9" defaultRowHeight="16.8"/>
  <cols>
    <col customWidth="1" max="1" min="1" width="39"/>
    <col customWidth="1" max="2" min="2" width="42.7115384615385"/>
  </cols>
  <sheetData>
    <row r="1">
      <c r="A1" t="inlineStr">
        <is>
          <t>Model</t>
        </is>
      </c>
      <c r="B1" t="inlineStr">
        <is>
          <t>Product Number</t>
        </is>
      </c>
    </row>
    <row r="2">
      <c r="A2" t="inlineStr">
        <is>
          <t>M21S5-D-18LHYY</t>
        </is>
      </c>
      <c r="B2" t="inlineStr">
        <is>
          <t>M88-000002</t>
        </is>
      </c>
    </row>
    <row r="3">
      <c r="A3" t="inlineStr">
        <is>
          <t>M21S5-D-18RHYY</t>
        </is>
      </c>
      <c r="B3" t="inlineStr">
        <is>
          <t>M88-000003</t>
        </is>
      </c>
    </row>
    <row r="4">
      <c r="A4" t="inlineStr">
        <is>
          <t>M21P5-S-18XXYY</t>
        </is>
      </c>
      <c r="B4" t="inlineStr">
        <is>
          <t>M88-000004</t>
        </is>
      </c>
    </row>
    <row r="5">
      <c r="A5" t="inlineStr">
        <is>
          <t>M24P5-S-18XXYY</t>
        </is>
      </c>
      <c r="B5" t="inlineStr">
        <is>
          <t>M88-000005</t>
        </is>
      </c>
    </row>
    <row r="6">
      <c r="A6" t="inlineStr">
        <is>
          <t>M19P5-S-18XXYY</t>
        </is>
      </c>
      <c r="B6" t="inlineStr">
        <is>
          <t>M88-000006</t>
        </is>
      </c>
    </row>
    <row r="7">
      <c r="A7" t="inlineStr">
        <is>
          <t>M21P3-S-19NBLI</t>
        </is>
      </c>
      <c r="B7" t="inlineStr">
        <is>
          <t>M88-000007</t>
        </is>
      </c>
    </row>
    <row r="8">
      <c r="B8" t="inlineStr">
        <is>
          <t>M88-000008</t>
        </is>
      </c>
    </row>
    <row r="9">
      <c r="B9" t="inlineStr">
        <is>
          <t>M88-000009</t>
        </is>
      </c>
    </row>
    <row r="10">
      <c r="B10" t="inlineStr">
        <is>
          <t>M88-000010</t>
        </is>
      </c>
    </row>
    <row r="11">
      <c r="B11" t="inlineStr">
        <is>
          <t>M88-000011</t>
        </is>
      </c>
    </row>
    <row r="12">
      <c r="B12" t="inlineStr">
        <is>
          <t>M88-000012</t>
        </is>
      </c>
    </row>
    <row r="13">
      <c r="B13" t="inlineStr">
        <is>
          <t>M88-000013</t>
        </is>
      </c>
    </row>
    <row r="14">
      <c r="B14" t="inlineStr">
        <is>
          <t>M88-000014</t>
        </is>
      </c>
    </row>
    <row r="15">
      <c r="B15" t="inlineStr">
        <is>
          <t>M88-000015</t>
        </is>
      </c>
    </row>
    <row r="16">
      <c r="B16" t="inlineStr">
        <is>
          <t>M88-000016</t>
        </is>
      </c>
    </row>
    <row r="17">
      <c r="B17" t="inlineStr">
        <is>
          <t>M88-000017</t>
        </is>
      </c>
    </row>
    <row r="18">
      <c r="B18" t="inlineStr">
        <is>
          <t>M88-000018</t>
        </is>
      </c>
    </row>
    <row r="19">
      <c r="B19" t="inlineStr">
        <is>
          <t>M88-000019</t>
        </is>
      </c>
    </row>
    <row r="20">
      <c r="B20" t="inlineStr">
        <is>
          <t>M88-000020</t>
        </is>
      </c>
    </row>
    <row r="21">
      <c r="B21" t="inlineStr">
        <is>
          <t>M88-000021</t>
        </is>
      </c>
    </row>
    <row r="22">
      <c r="B22" t="inlineStr">
        <is>
          <t>M88-000022</t>
        </is>
      </c>
    </row>
    <row r="23">
      <c r="B23" t="inlineStr">
        <is>
          <t>M88-000023</t>
        </is>
      </c>
    </row>
    <row r="24">
      <c r="B24" t="inlineStr">
        <is>
          <t>M88-000024</t>
        </is>
      </c>
    </row>
    <row r="25">
      <c r="B25" t="inlineStr">
        <is>
          <t>M88-000025</t>
        </is>
      </c>
    </row>
    <row r="26">
      <c r="B26" t="inlineStr">
        <is>
          <t>M88-000026</t>
        </is>
      </c>
    </row>
    <row r="27">
      <c r="B27" t="inlineStr">
        <is>
          <t>M88-000027</t>
        </is>
      </c>
    </row>
    <row r="28">
      <c r="B28" t="inlineStr">
        <is>
          <t>M88-000028</t>
        </is>
      </c>
    </row>
    <row r="29">
      <c r="B29" t="inlineStr">
        <is>
          <t>M88-000029</t>
        </is>
      </c>
    </row>
    <row r="30">
      <c r="B30" t="inlineStr">
        <is>
          <t>M88-000030</t>
        </is>
      </c>
    </row>
    <row r="31">
      <c r="B31" t="inlineStr">
        <is>
          <t>M88-000031</t>
        </is>
      </c>
    </row>
    <row r="32">
      <c r="B32" t="inlineStr">
        <is>
          <t>M88-000032</t>
        </is>
      </c>
    </row>
    <row r="33">
      <c r="B33" t="inlineStr">
        <is>
          <t>M88-000033</t>
        </is>
      </c>
    </row>
    <row r="34">
      <c r="B34" t="inlineStr">
        <is>
          <t>M88-000034</t>
        </is>
      </c>
    </row>
    <row r="35">
      <c r="B35" t="inlineStr">
        <is>
          <t>M88-000035</t>
        </is>
      </c>
    </row>
  </sheetData>
  <pageMargins bottom="0.75" footer="0.3" header="0.3" left="0.699305555555556" right="0.699305555555556" top="0.7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itle xmlns:dc="http://purl.org/dc/elements/1.1/">Motor PAT Test Spreadsheet Rev.01</dc:title>
  <dcterms:created xmlns:dcterms="http://purl.org/dc/terms/" xmlns:xsi="http://www.w3.org/2001/XMLSchema-instance" xsi:type="dcterms:W3CDTF">2006-09-17T08:00:00Z</dcterms:created>
  <dcterms:modified xmlns:dcterms="http://purl.org/dc/terms/" xmlns:xsi="http://www.w3.org/2001/XMLSchema-instance" xsi:type="dcterms:W3CDTF">2019-04-18T16:59:46Z</dcterms:modified>
</cp:coreProperties>
</file>